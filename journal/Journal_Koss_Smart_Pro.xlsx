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ode d'emploi" sheetId="1" state="visible" r:id="rId3"/>
    <sheet name="Checklist" sheetId="2" state="visible" r:id="rId4"/>
    <sheet name="Journal" sheetId="3" state="visible" r:id="rId5"/>
    <sheet name="Tableau de bord" sheetId="4" state="visible" r:id="rId6"/>
    <sheet name="Revue hebdo" sheetId="5" state="visible" r:id="rId7"/>
    <sheet name="Paramètres" sheetId="6" state="visible" r:id="rId8"/>
  </sheets>
  <definedNames>
    <definedName function="false" hidden="true" localSheetId="2" name="_xlnm._FilterDatabase" vbProcedure="false">Journal!$A$4:$AM$304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4" authorId="0">
      <text>
        <r>
          <rPr>
            <sz val="10"/>
            <rFont val="Arial"/>
            <family val="2"/>
          </rPr>
          <t xml:space="preserve">1 point par critère respecté : biais dans le sens du trade, discount/premium, sweep de liquidité, MSS, FVG valide, killzone Londres/NY, pas d'annonce. 7/7 = A+.</t>
        </r>
      </text>
    </comment>
    <comment ref="T4" authorId="0">
      <text>
        <r>
          <rPr>
            <sz val="10"/>
            <rFont val="Arial"/>
            <family val="2"/>
          </rPr>
          <t xml:space="preserve">TP1 = entrée + (entrée - stop) x TP1 en R (feuille Paramètres). Fonctionne pour achat et vente.</t>
        </r>
      </text>
    </comment>
    <comment ref="AA4" authorId="0">
      <text>
        <r>
          <rPr>
            <sz val="10"/>
            <rFont val="Arial"/>
            <family val="2"/>
          </rPr>
          <t xml:space="preserve">Stop = -1R ; BE = 0 ; TP1 + BE = part x TP1 ; TP1 (100 %) = TP1 ; TP2 = part x TP1 + (1 - part) x R:R TP2 ; sortie manuelle = colonne Z.</t>
        </r>
      </text>
    </comment>
    <comment ref="AC4" authorId="0">
      <text>
        <r>
          <rPr>
            <sz val="10"/>
            <rFont val="Arial"/>
            <family val="2"/>
          </rPr>
          <t xml:space="preserve">Capital = capital initial x (1 + somme des % gagnés/perdus). Calcul simple, sans intérêts composés.</t>
        </r>
      </text>
    </comment>
  </commentList>
</comments>
</file>

<file path=xl/sharedStrings.xml><?xml version="1.0" encoding="utf-8"?>
<sst xmlns="http://schemas.openxmlformats.org/spreadsheetml/2006/main" count="355" uniqueCount="267">
  <si>
    <t xml:space="preserve">Mode d'emploi du journal</t>
  </si>
  <si>
    <t xml:space="preserve">CODE COULEUR</t>
  </si>
  <si>
    <t xml:space="preserve">Cellule JAUNE, texte bleu = à remplir par vous (souvent un menu déroulant).</t>
  </si>
  <si>
    <t xml:space="preserve">Cellule blanche, texte noir = calcul automatique : ne pas modifier.</t>
  </si>
  <si>
    <t xml:space="preserve">Texte vert = valeur reprise d'une autre feuille.</t>
  </si>
  <si>
    <t xml:space="preserve">LES FEUILLES</t>
  </si>
  <si>
    <t xml:space="preserve">Checklist : à remplir AVANT chaque trade. Verdict automatique + calculateur de lots.</t>
  </si>
  <si>
    <t xml:space="preserve">Journal : une ligne par trade (300 lignes prêtes). Score /7 et qualité A+ / B / C calculés seuls.</t>
  </si>
  <si>
    <t xml:space="preserve">Tableau de bord : taux de réussite, TP1 %, espérance, drawdown, discipline, et résultats par session, marché, liquidité, émotion, erreur, jour.</t>
  </si>
  <si>
    <t xml:space="preserve">Revue hebdo : bilan chiffré de chaque semaine + vos conclusions + graphique des R par semaine.</t>
  </si>
  <si>
    <t xml:space="preserve">Paramètres : capital, risque, objectifs et listes des menus déroulants. À régler UNE fois au début.</t>
  </si>
  <si>
    <t xml:space="preserve">ROUTINE</t>
  </si>
  <si>
    <t xml:space="preserve">1. Premier jour : réglez la feuille Paramètres (capital, risque, lundi de la 1re semaine).</t>
  </si>
  <si>
    <t xml:space="preserve">2. Avant chaque trade : Checklist. Si le verdict n'est pas « TRADE AUTORISÉ », on ne trade pas.</t>
  </si>
  <si>
    <t xml:space="preserve">3. À l'entrée : remplissez la ligne du Journal (date → TP2). Prenez une capture d'écran et collez le lien (TradingView : icône appareil photo → « Copier le lien »).</t>
  </si>
  <si>
    <t xml:space="preserve">4. À la sortie : Résultat, règles respectées, émotion, erreur, leçon. Soyez honnête : le journal ne sert qu'à ça.</t>
  </si>
  <si>
    <t xml:space="preserve">5. Chaque week-end : Revue hebdo + Tableau de bord. Une seule chose à corriger par semaine.</t>
  </si>
  <si>
    <t xml:space="preserve">6. Tous les 30 trades : regardez les tableaux « par session », « par liquidité », « par erreur ». Gardez ce qui a une espérance positive, supprimez le reste.</t>
  </si>
  <si>
    <t xml:space="preserve">LES RÉSULTATS (colonne Y du Journal)</t>
  </si>
  <si>
    <t xml:space="preserve">Stop = −1 R · BE = 0 R (stop à l'entrée touché sans TP1) · TP1 + BE = 50 % à TP1 puis reste à l'entrée = +0,5 R (réglages par défaut)</t>
  </si>
  <si>
    <t xml:space="preserve">TP1 (100 %) = tout fermé à TP1 = +1 R · TP2 = 50 % à TP1 + 50 % à TP2 · Sortie manuelle = indiquez le R obtenu en colonne Z.</t>
  </si>
  <si>
    <t xml:space="preserve">Le « taux de TP1 atteint » compte TP2, TP1 + BE et TP1 (100 %). C'est lui que l'on compare à l'objectif de 70 %.</t>
  </si>
  <si>
    <t xml:space="preserve">CE QUE LE JOURNAL NE FAIT PAS</t>
  </si>
  <si>
    <t xml:space="preserve">Il ne garantit pas 70 % de réussite : il MESURE votre vrai taux. Moins de 30 trades = pas de conclusion.</t>
  </si>
  <si>
    <t xml:space="preserve">Le capital est calculé sans intérêts composés (capital initial × (1 + somme des %)). Écart négligeable avec 0,5 % de risque.</t>
  </si>
  <si>
    <t xml:space="preserve">EXEMPLE DE LIGNE BIEN REMPLIE (à reproduire dans le Journal)</t>
  </si>
  <si>
    <t xml:space="preserve">Date</t>
  </si>
  <si>
    <t xml:space="preserve">Heure</t>
  </si>
  <si>
    <t xml:space="preserve">Marché</t>
  </si>
  <si>
    <t xml:space="preserve">TF</t>
  </si>
  <si>
    <t xml:space="preserve">Session</t>
  </si>
  <si>
    <t xml:space="preserve">Sens</t>
  </si>
  <si>
    <t xml:space="preserve">Biais</t>
  </si>
  <si>
    <t xml:space="preserve">Zone</t>
  </si>
  <si>
    <t xml:space="preserve">Liquidité</t>
  </si>
  <si>
    <t xml:space="preserve">MSS</t>
  </si>
  <si>
    <t xml:space="preserve">FVG</t>
  </si>
  <si>
    <t xml:space="preserve">Zone entrée</t>
  </si>
  <si>
    <t xml:space="preserve">Annonce</t>
  </si>
  <si>
    <t xml:space="preserve">Entrée</t>
  </si>
  <si>
    <t xml:space="preserve">Stop</t>
  </si>
  <si>
    <t xml:space="preserve">TP2</t>
  </si>
  <si>
    <t xml:space="preserve">Risque %</t>
  </si>
  <si>
    <t xml:space="preserve">Résultat</t>
  </si>
  <si>
    <t xml:space="preserve">Règles</t>
  </si>
  <si>
    <t xml:space="preserve">Émotion</t>
  </si>
  <si>
    <t xml:space="preserve">Erreur</t>
  </si>
  <si>
    <t xml:space="preserve">Leçon</t>
  </si>
  <si>
    <t xml:space="preserve">29/09/2026</t>
  </si>
  <si>
    <t xml:space="preserve">08:45</t>
  </si>
  <si>
    <t xml:space="preserve">XAUUSD</t>
  </si>
  <si>
    <t xml:space="preserve">M15</t>
  </si>
  <si>
    <t xml:space="preserve">Londres</t>
  </si>
  <si>
    <t xml:space="preserve">Achat</t>
  </si>
  <si>
    <t xml:space="preserve">Haussier</t>
  </si>
  <si>
    <t xml:space="preserve">Discount</t>
  </si>
  <si>
    <t xml:space="preserve">AS L</t>
  </si>
  <si>
    <t xml:space="preserve">CHoCH</t>
  </si>
  <si>
    <t xml:space="preserve">Oui</t>
  </si>
  <si>
    <t xml:space="preserve">Non</t>
  </si>
  <si>
    <t xml:space="preserve">0,50 %</t>
  </si>
  <si>
    <t xml:space="preserve">Calme</t>
  </si>
  <si>
    <t xml:space="preserve">Aucune</t>
  </si>
  <si>
    <t xml:space="preserve">Sweep de l'Asie à l'ouverture de Londres, entrée au CE du FVG : patience payante.</t>
  </si>
  <si>
    <t xml:space="preserve">Avec ces valeurs : score 7/7 (A+), TP1 = 3818,70, risque 6,30 points, R:R vers TP2 ≈ 3,0 → résultat TP2 = 0,5 × 1 + 0,5 × 3,0 = +2,0 R, soit +1,0 % du compte.</t>
  </si>
  <si>
    <t xml:space="preserve">Checklist avant chaque trade</t>
  </si>
  <si>
    <t xml:space="preserve">À remplir AVANT de placer l'ordre. Répondez Oui / Non dans les cellules jaunes.</t>
  </si>
  <si>
    <t xml:space="preserve">Critère</t>
  </si>
  <si>
    <t xml:space="preserve">Réponse</t>
  </si>
  <si>
    <t xml:space="preserve">1. Le biais H4 (dernier BOS) va dans le sens de mon trade</t>
  </si>
  <si>
    <t xml:space="preserve">2. Achat en DISCOUNT / vente en PREMIUM (milieu du range H4)</t>
  </si>
  <si>
    <t xml:space="preserve">3. Une liquidité a été balayée (PDH, PDL, AS H/L, EQH/EQL, BSL/SSL) : mèche au-delà, clôture en retour</t>
  </si>
  <si>
    <t xml:space="preserve">4. MSS (CHoCH ou BOS interne) dans le sens du trade, en clôture</t>
  </si>
  <si>
    <t xml:space="preserve">5. Le déplacement a laissé un FVG valide et NON mitigé (1er retour du prix)</t>
  </si>
  <si>
    <t xml:space="preserve">6. Je suis dans une killzone : Londres ou New York</t>
  </si>
  <si>
    <t xml:space="preserve">7. Pas d'annonce majeure (NFP, CPI, FOMC, taux) dans les 30 minutes</t>
  </si>
  <si>
    <t xml:space="preserve">Score</t>
  </si>
  <si>
    <t xml:space="preserve">Trades déjà pris aujourd'hui</t>
  </si>
  <si>
    <t xml:space="preserve">R perdus aujourd'hui</t>
  </si>
  <si>
    <t xml:space="preserve">VERDICT</t>
  </si>
  <si>
    <t xml:space="preserve">Calculateur de taille de position</t>
  </si>
  <si>
    <t xml:space="preserve">Capital du compte ($)</t>
  </si>
  <si>
    <t xml:space="preserve">Risque (%)</t>
  </si>
  <si>
    <t xml:space="preserve">Pré-rempli depuis Paramètres ; modifiable.</t>
  </si>
  <si>
    <t xml:space="preserve">Prix d'entrée</t>
  </si>
  <si>
    <t xml:space="preserve">Stop loss</t>
  </si>
  <si>
    <t xml:space="preserve">Taille d'un contrat (1 lot)</t>
  </si>
  <si>
    <t xml:space="preserve">XAUUSD = 100 (onces) · EURUSD, GBPUSD = 100 000 · indices : voir la fiche du symbole chez votre courtier.</t>
  </si>
  <si>
    <t xml:space="preserve">Montant risqué ($)</t>
  </si>
  <si>
    <t xml:space="preserve">Distance entrée - stop</t>
  </si>
  <si>
    <t xml:space="preserve">Taille de position (lots)</t>
  </si>
  <si>
    <t xml:space="preserve">Valable pour un compte en $ et un actif coté en $ (XAUUSD, EURUSD, GBPUSD, US30, NAS100). Pour USDJPY ou un compte dans une autre devise : vérifiez avec le calculateur de votre courtier.</t>
  </si>
  <si>
    <t xml:space="preserve">TP1 (1R)</t>
  </si>
  <si>
    <t xml:space="preserve">TP2 minimum (2R)</t>
  </si>
  <si>
    <t xml:space="preserve">Journal de trading — Koss Smart Pro</t>
  </si>
  <si>
    <t xml:space="preserve">Une ligne par trade. Remplissez les cellules JAUNES (menus déroulants) ; les cellules blanches se calculent seules. Voir la feuille « Mode d'emploi ».</t>
  </si>
  <si>
    <t xml:space="preserve">CONTEXTE</t>
  </si>
  <si>
    <t xml:space="preserve">MARCHÉ</t>
  </si>
  <si>
    <t xml:space="preserve">CHECKLIST SMC (score auto /7)</t>
  </si>
  <si>
    <t xml:space="preserve">EXÉCUTION</t>
  </si>
  <si>
    <t xml:space="preserve">RÉSULTAT</t>
  </si>
  <si>
    <t xml:space="preserve">PSYCHOLOGIE ET LEÇON</t>
  </si>
  <si>
    <t xml:space="preserve">CALCULS AUTOMATIQUES</t>
  </si>
  <si>
    <t xml:space="preserve">N°</t>
  </si>
  <si>
    <t xml:space="preserve">Jour</t>
  </si>
  <si>
    <t xml:space="preserve">Heure (Douala)</t>
  </si>
  <si>
    <t xml:space="preserve">TF entrée</t>
  </si>
  <si>
    <t xml:space="preserve">Biais HTF</t>
  </si>
  <si>
    <t xml:space="preserve">Discount / Premium</t>
  </si>
  <si>
    <t xml:space="preserve">Liquidité prise (sweep)</t>
  </si>
  <si>
    <t xml:space="preserve">FVG valide non mitigé</t>
  </si>
  <si>
    <t xml:space="preserve">Zone d'entrée</t>
  </si>
  <si>
    <t xml:space="preserve">Annonce &lt; 30 min</t>
  </si>
  <si>
    <t xml:space="preserve">Score /7</t>
  </si>
  <si>
    <t xml:space="preserve">Qualité</t>
  </si>
  <si>
    <t xml:space="preserve">TP1 (auto)</t>
  </si>
  <si>
    <t xml:space="preserve">TP2 (liquidité visée)</t>
  </si>
  <si>
    <t xml:space="preserve">Risque (points)</t>
  </si>
  <si>
    <t xml:space="preserve">R:R vers TP2</t>
  </si>
  <si>
    <t xml:space="preserve">Risque % (vide = défaut)</t>
  </si>
  <si>
    <t xml:space="preserve">R si sortie manuelle</t>
  </si>
  <si>
    <t xml:space="preserve">R réalisé</t>
  </si>
  <si>
    <t xml:space="preserve">Résultat % compte</t>
  </si>
  <si>
    <t xml:space="preserve">Capital ($)</t>
  </si>
  <si>
    <t xml:space="preserve">Règles respectées</t>
  </si>
  <si>
    <t xml:space="preserve">Erreur principale</t>
  </si>
  <si>
    <t xml:space="preserve">Lien capture d'écran</t>
  </si>
  <si>
    <t xml:space="preserve">Leçon / remarque</t>
  </si>
  <si>
    <t xml:space="preserve">Cumul R</t>
  </si>
  <si>
    <t xml:space="preserve">Plus haut du cumul</t>
  </si>
  <si>
    <t xml:space="preserve">Drawdown (R)</t>
  </si>
  <si>
    <t xml:space="preserve">Série de pertes</t>
  </si>
  <si>
    <t xml:space="preserve">Semaine du</t>
  </si>
  <si>
    <t xml:space="preserve">Tableau de bord — Koss Smart Pro</t>
  </si>
  <si>
    <t xml:space="preserve">Tout est calculé à partir de la feuille Journal. Ne rien saisir ici.</t>
  </si>
  <si>
    <t xml:space="preserve">Indicateur</t>
  </si>
  <si>
    <t xml:space="preserve">Valeur</t>
  </si>
  <si>
    <t xml:space="preserve">Objectif</t>
  </si>
  <si>
    <t xml:space="preserve">Statut</t>
  </si>
  <si>
    <t xml:space="preserve">Trades clôturés</t>
  </si>
  <si>
    <t xml:space="preserve">Taux de réussite (R &gt; 0)</t>
  </si>
  <si>
    <t xml:space="preserve">Taux de TP1 atteint</t>
  </si>
  <si>
    <t xml:space="preserve">Taux de TP2 atteint</t>
  </si>
  <si>
    <t xml:space="preserve">Espérance (R par trade)</t>
  </si>
  <si>
    <t xml:space="preserve">Résultat total (R)</t>
  </si>
  <si>
    <t xml:space="preserve">Gain moyen (R)</t>
  </si>
  <si>
    <t xml:space="preserve">Perte moyenne (R)</t>
  </si>
  <si>
    <t xml:space="preserve">Profit factor</t>
  </si>
  <si>
    <t xml:space="preserve">Drawdown maximal (R)</t>
  </si>
  <si>
    <t xml:space="preserve">Pire série de pertes</t>
  </si>
  <si>
    <t xml:space="preserve">Capital actuel ($)</t>
  </si>
  <si>
    <t xml:space="preserve">Performance du compte</t>
  </si>
  <si>
    <t xml:space="preserve">Discipline (règles respectées)</t>
  </si>
  <si>
    <t xml:space="preserve">Part des setups A+</t>
  </si>
  <si>
    <t xml:space="preserve">Lecture : un taux de TP1 de 70 % n'a de valeur que si l'espérance est positive. Moins de 30 trades = hasard possible : ne concluez rien avant.</t>
  </si>
  <si>
    <t xml:space="preserve">Par qualité de setup (A+ = 7/7)</t>
  </si>
  <si>
    <t xml:space="preserve">Catégorie</t>
  </si>
  <si>
    <t xml:space="preserve">Trades</t>
  </si>
  <si>
    <t xml:space="preserve">Réussite (R &gt; 0)</t>
  </si>
  <si>
    <t xml:space="preserve">TP1 atteint</t>
  </si>
  <si>
    <t xml:space="preserve">Espérance (R)</t>
  </si>
  <si>
    <t xml:space="preserve">Total (R)</t>
  </si>
  <si>
    <t xml:space="preserve">Par session</t>
  </si>
  <si>
    <t xml:space="preserve">Par marché</t>
  </si>
  <si>
    <t xml:space="preserve">Par liquidité prise</t>
  </si>
  <si>
    <t xml:space="preserve">Par sens</t>
  </si>
  <si>
    <t xml:space="preserve">Règles respectées ?</t>
  </si>
  <si>
    <t xml:space="preserve">Par émotion</t>
  </si>
  <si>
    <t xml:space="preserve">Par erreur principale</t>
  </si>
  <si>
    <t xml:space="preserve">Par jour</t>
  </si>
  <si>
    <t xml:space="preserve">Revue hebdomadaire</t>
  </si>
  <si>
    <t xml:space="preserve">À faire chaque week-end (20 min). Les chiffres se calculent seuls ; remplissez les colonnes jaunes.</t>
  </si>
  <si>
    <t xml:space="preserve">Réussite</t>
  </si>
  <si>
    <t xml:space="preserve">Total R</t>
  </si>
  <si>
    <t xml:space="preserve">Meilleur trade (N°)</t>
  </si>
  <si>
    <t xml:space="preserve">Erreur n°1 de la semaine</t>
  </si>
  <si>
    <t xml:space="preserve">Ce qui a marché</t>
  </si>
  <si>
    <t xml:space="preserve">À corriger</t>
  </si>
  <si>
    <t xml:space="preserve">Objectif semaine suivante</t>
  </si>
  <si>
    <t xml:space="preserve">Paramètres et listes</t>
  </si>
  <si>
    <t xml:space="preserve">Cellules jaunes = à adapter. Les listes (colonnes D à R) alimentent les menus déroulants du journal : vous pouvez en ajouter.</t>
  </si>
  <si>
    <t xml:space="preserve">Paramètre</t>
  </si>
  <si>
    <t xml:space="preserve">Note</t>
  </si>
  <si>
    <t xml:space="preserve">Marchés</t>
  </si>
  <si>
    <t xml:space="preserve">Timeframes</t>
  </si>
  <si>
    <t xml:space="preserve">Sessions</t>
  </si>
  <si>
    <t xml:space="preserve">Zone de prix</t>
  </si>
  <si>
    <t xml:space="preserve">Liquidité prise</t>
  </si>
  <si>
    <t xml:space="preserve">Oui / Non</t>
  </si>
  <si>
    <t xml:space="preserve">Résultats</t>
  </si>
  <si>
    <t xml:space="preserve">Émotions</t>
  </si>
  <si>
    <t xml:space="preserve">Erreurs</t>
  </si>
  <si>
    <t xml:space="preserve">Jours</t>
  </si>
  <si>
    <t xml:space="preserve">Capital initial du compte ($)</t>
  </si>
  <si>
    <t xml:space="preserve">Montant de votre compte au début du journal (source : vous).</t>
  </si>
  <si>
    <t xml:space="preserve">M1</t>
  </si>
  <si>
    <t xml:space="preserve">PDH</t>
  </si>
  <si>
    <t xml:space="preserve">A+</t>
  </si>
  <si>
    <t xml:space="preserve">Lundi</t>
  </si>
  <si>
    <t xml:space="preserve">Risque par trade par défaut</t>
  </si>
  <si>
    <t xml:space="preserve">0,5 % conseillé au début (stratégie Koss Smart Pro).</t>
  </si>
  <si>
    <t xml:space="preserve">EURUSD</t>
  </si>
  <si>
    <t xml:space="preserve">M5</t>
  </si>
  <si>
    <t xml:space="preserve">New York</t>
  </si>
  <si>
    <t xml:space="preserve">Vente</t>
  </si>
  <si>
    <t xml:space="preserve">Baissier</t>
  </si>
  <si>
    <t xml:space="preserve">Premium</t>
  </si>
  <si>
    <t xml:space="preserve">PDL</t>
  </si>
  <si>
    <t xml:space="preserve">BOS</t>
  </si>
  <si>
    <t xml:space="preserve">Order Block</t>
  </si>
  <si>
    <t xml:space="preserve">TP1 + BE</t>
  </si>
  <si>
    <t xml:space="preserve">Confiant</t>
  </si>
  <si>
    <t xml:space="preserve">Hors killzone</t>
  </si>
  <si>
    <t xml:space="preserve">B</t>
  </si>
  <si>
    <t xml:space="preserve">Mardi</t>
  </si>
  <si>
    <t xml:space="preserve">TP1 (en R)</t>
  </si>
  <si>
    <t xml:space="preserve">Objectif 1 = 1 fois le risque (stratégie Koss Smart Pro).</t>
  </si>
  <si>
    <t xml:space="preserve">GBPUSD</t>
  </si>
  <si>
    <t xml:space="preserve">Asie</t>
  </si>
  <si>
    <t xml:space="preserve">Indéfini</t>
  </si>
  <si>
    <t xml:space="preserve">Équilibre</t>
  </si>
  <si>
    <t xml:space="preserve">AS H</t>
  </si>
  <si>
    <t xml:space="preserve">Aucun</t>
  </si>
  <si>
    <t xml:space="preserve">FVG + OB</t>
  </si>
  <si>
    <t xml:space="preserve">TP1 (100 %)</t>
  </si>
  <si>
    <t xml:space="preserve">Impatient</t>
  </si>
  <si>
    <t xml:space="preserve">Sans sweep</t>
  </si>
  <si>
    <t xml:space="preserve">C</t>
  </si>
  <si>
    <t xml:space="preserve">Mercredi</t>
  </si>
  <si>
    <t xml:space="preserve">Part fermée à TP1</t>
  </si>
  <si>
    <t xml:space="preserve">50 % fermés à TP1, puis stop au prix d'entrée.</t>
  </si>
  <si>
    <t xml:space="preserve">USDJPY</t>
  </si>
  <si>
    <t xml:space="preserve">H1</t>
  </si>
  <si>
    <t xml:space="preserve">BE</t>
  </si>
  <si>
    <t xml:space="preserve">FOMO</t>
  </si>
  <si>
    <t xml:space="preserve">Contre le biais</t>
  </si>
  <si>
    <t xml:space="preserve">Jeudi</t>
  </si>
  <si>
    <t xml:space="preserve">Objectif : taux de TP1 atteint</t>
  </si>
  <si>
    <t xml:space="preserve">Votre objectif de 70 %.</t>
  </si>
  <si>
    <t xml:space="preserve">NAS100</t>
  </si>
  <si>
    <t xml:space="preserve">EQH</t>
  </si>
  <si>
    <t xml:space="preserve">Peur</t>
  </si>
  <si>
    <t xml:space="preserve">Annonce ignorée</t>
  </si>
  <si>
    <t xml:space="preserve">Vendredi</t>
  </si>
  <si>
    <t xml:space="preserve">Objectif : espérance (R par trade)</t>
  </si>
  <si>
    <t xml:space="preserve">Au-dessus de +0,2 R par trade = stratégie rentable et robuste.</t>
  </si>
  <si>
    <t xml:space="preserve">US30</t>
  </si>
  <si>
    <t xml:space="preserve">EQL</t>
  </si>
  <si>
    <t xml:space="preserve">Sortie manuelle</t>
  </si>
  <si>
    <t xml:space="preserve">Revanche</t>
  </si>
  <si>
    <t xml:space="preserve">Entrée anticipée</t>
  </si>
  <si>
    <t xml:space="preserve">Trades maximum par jour</t>
  </si>
  <si>
    <t xml:space="preserve">Règle de la stratégie.</t>
  </si>
  <si>
    <t xml:space="preserve">Autre</t>
  </si>
  <si>
    <t xml:space="preserve">BSL</t>
  </si>
  <si>
    <t xml:space="preserve">Fatigué</t>
  </si>
  <si>
    <t xml:space="preserve">Stop déplacé</t>
  </si>
  <si>
    <t xml:space="preserve">Perte maximum par jour (en R)</t>
  </si>
  <si>
    <t xml:space="preserve">Au-delà : arrêt pour la journée.</t>
  </si>
  <si>
    <t xml:space="preserve">SSL</t>
  </si>
  <si>
    <t xml:space="preserve">Sortie trop tôt</t>
  </si>
  <si>
    <t xml:space="preserve">Lundi de la 1re semaine du journal</t>
  </si>
  <si>
    <t xml:space="preserve">Sert à la feuille « Revue hebdo ». Mettez un LUNDI.</t>
  </si>
  <si>
    <t xml:space="preserve">Sur-risque</t>
  </si>
  <si>
    <t xml:space="preserve">Objectif : règles respectées</t>
  </si>
  <si>
    <t xml:space="preserve">Discipline visée.</t>
  </si>
  <si>
    <t xml:space="preserve">Revenge trading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</si>
</sst>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General"/>
    <numFmt numFmtId="166" formatCode="0.00"/>
    <numFmt numFmtId="167" formatCode="#,##0.00"/>
    <numFmt numFmtId="168" formatCode="0.00%"/>
    <numFmt numFmtId="169" formatCode="#,##0"/>
    <numFmt numFmtId="170" formatCode="0"/>
    <numFmt numFmtId="171" formatCode="dd/mm/yyyy"/>
    <numFmt numFmtId="172" formatCode="hh:mm"/>
    <numFmt numFmtId="173" formatCode="0.0"/>
    <numFmt numFmtId="174" formatCode="\+0.00;\-0.00;0.00"/>
    <numFmt numFmtId="175" formatCode="\+0.00%;\-0.00%;0.00%"/>
    <numFmt numFmtId="176" formatCode="0.0%"/>
    <numFmt numFmtId="177" formatCode="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D9D9"/>
        <bgColor rgb="FFC6EFCE"/>
      </patternFill>
    </fill>
    <fill>
      <patternFill patternType="solid">
        <fgColor rgb="FF595959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 patternType="solid">
          <fgColor rgb="FF5959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89981"/>
      <rgbColor rgb="FFBFBFBF"/>
      <rgbColor rgb="FF878787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Résultat par semaine (en 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'Revue hebdo'!E4</c:f>
              <c:strCache>
                <c:ptCount val="1"/>
                <c:pt idx="0">
                  <c:v>Total R</c:v>
                </c:pt>
              </c:strCache>
            </c:strRef>
          </c:tx>
          <c:spPr>
            <a:solidFill>
              <a:srgbClr val="089981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'Revue hebdo'!$A$5:$A$30</c:f>
              <c:strCache>
                <c:ptCount val="26"/>
                <c:pt idx="0">
                  <c:v>28/09/2026</c:v>
                </c:pt>
                <c:pt idx="1">
                  <c:v>05/10/2026</c:v>
                </c:pt>
                <c:pt idx="2">
                  <c:v>12/10/2026</c:v>
                </c:pt>
                <c:pt idx="3">
                  <c:v>19/10/2026</c:v>
                </c:pt>
                <c:pt idx="4">
                  <c:v>26/10/2026</c:v>
                </c:pt>
                <c:pt idx="5">
                  <c:v>02/11/2026</c:v>
                </c:pt>
                <c:pt idx="6">
                  <c:v>09/11/2026</c:v>
                </c:pt>
                <c:pt idx="7">
                  <c:v>16/11/2026</c:v>
                </c:pt>
                <c:pt idx="8">
                  <c:v>23/11/2026</c:v>
                </c:pt>
                <c:pt idx="9">
                  <c:v>30/11/2026</c:v>
                </c:pt>
                <c:pt idx="10">
                  <c:v>07/12/2026</c:v>
                </c:pt>
                <c:pt idx="11">
                  <c:v>14/12/2026</c:v>
                </c:pt>
                <c:pt idx="12">
                  <c:v>21/12/2026</c:v>
                </c:pt>
                <c:pt idx="13">
                  <c:v>28/12/2026</c:v>
                </c:pt>
                <c:pt idx="14">
                  <c:v>04/01/2027</c:v>
                </c:pt>
                <c:pt idx="15">
                  <c:v>11/01/2027</c:v>
                </c:pt>
                <c:pt idx="16">
                  <c:v>18/01/2027</c:v>
                </c:pt>
                <c:pt idx="17">
                  <c:v>25/01/2027</c:v>
                </c:pt>
                <c:pt idx="18">
                  <c:v>01/02/2027</c:v>
                </c:pt>
                <c:pt idx="19">
                  <c:v>08/02/2027</c:v>
                </c:pt>
                <c:pt idx="20">
                  <c:v>15/02/2027</c:v>
                </c:pt>
                <c:pt idx="21">
                  <c:v>22/02/2027</c:v>
                </c:pt>
                <c:pt idx="22">
                  <c:v>01/03/2027</c:v>
                </c:pt>
                <c:pt idx="23">
                  <c:v>08/03/2027</c:v>
                </c:pt>
                <c:pt idx="24">
                  <c:v>15/03/2027</c:v>
                </c:pt>
                <c:pt idx="25">
                  <c:v>22/03/2027</c:v>
                </c:pt>
              </c:strCache>
            </c:strRef>
          </c:cat>
          <c:val>
            <c:numRef>
              <c:f>'Revue hebdo'!$E$5:$E$30</c:f>
              <c:numCache>
                <c:formatCode>\+0.00;\-0.00;0.00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val>
        </c:ser>
        <c:gapWidth val="60"/>
        <c:overlap val="0"/>
        <c:axId val="71718097"/>
        <c:axId val="59662991"/>
      </c:barChart>
      <c:catAx>
        <c:axId val="71718097"/>
        <c:scaling>
          <c:orientation val="minMax"/>
        </c:scaling>
        <c:delete val="0"/>
        <c:axPos val="b"/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662991"/>
        <c:crosses val="autoZero"/>
        <c:auto val="1"/>
        <c:lblAlgn val="ctr"/>
        <c:lblOffset val="100"/>
        <c:noMultiLvlLbl val="0"/>
      </c:catAx>
      <c:valAx>
        <c:axId val="596629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71809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31</xdr:row>
      <xdr:rowOff>130680</xdr:rowOff>
    </xdr:from>
    <xdr:to>
      <xdr:col>8</xdr:col>
      <xdr:colOff>1518840</xdr:colOff>
      <xdr:row>45</xdr:row>
      <xdr:rowOff>163440</xdr:rowOff>
    </xdr:to>
    <xdr:graphicFrame>
      <xdr:nvGraphicFramePr>
        <xdr:cNvPr id="0" name="Chart 1"/>
        <xdr:cNvGraphicFramePr/>
      </xdr:nvGraphicFramePr>
      <xdr:xfrm>
        <a:off x="0" y="6305400"/>
        <a:ext cx="791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0"/>
    <col collapsed="false" customWidth="true" hidden="false" outlineLevel="0" max="22" min="2" style="0" width="11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/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3" t="s">
        <v>12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3" t="s">
        <v>14</v>
      </c>
    </row>
    <row r="19" customFormat="false" ht="15" hidden="false" customHeight="false" outlineLevel="0" collapsed="false">
      <c r="A19" s="3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3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4" t="s">
        <v>26</v>
      </c>
      <c r="B33" s="4" t="s">
        <v>27</v>
      </c>
      <c r="C33" s="4" t="s">
        <v>28</v>
      </c>
      <c r="D33" s="4" t="s">
        <v>29</v>
      </c>
      <c r="E33" s="4" t="s">
        <v>30</v>
      </c>
      <c r="F33" s="4" t="s">
        <v>31</v>
      </c>
      <c r="G33" s="4" t="s">
        <v>32</v>
      </c>
      <c r="H33" s="4" t="s">
        <v>33</v>
      </c>
      <c r="I33" s="4" t="s">
        <v>34</v>
      </c>
      <c r="J33" s="4" t="s">
        <v>35</v>
      </c>
      <c r="K33" s="4" t="s">
        <v>36</v>
      </c>
      <c r="L33" s="4" t="s">
        <v>37</v>
      </c>
      <c r="M33" s="4" t="s">
        <v>38</v>
      </c>
      <c r="N33" s="4" t="s">
        <v>39</v>
      </c>
      <c r="O33" s="4" t="s">
        <v>40</v>
      </c>
      <c r="P33" s="4" t="s">
        <v>41</v>
      </c>
      <c r="Q33" s="4" t="s">
        <v>42</v>
      </c>
      <c r="R33" s="4" t="s">
        <v>43</v>
      </c>
      <c r="S33" s="4" t="s">
        <v>44</v>
      </c>
      <c r="T33" s="4" t="s">
        <v>45</v>
      </c>
      <c r="U33" s="4" t="s">
        <v>46</v>
      </c>
      <c r="V33" s="4" t="s">
        <v>47</v>
      </c>
    </row>
    <row r="34" customFormat="false" ht="68.65" hidden="false" customHeight="false" outlineLevel="0" collapsed="false">
      <c r="A34" s="5" t="s">
        <v>48</v>
      </c>
      <c r="B34" s="5" t="s">
        <v>49</v>
      </c>
      <c r="C34" s="5" t="s">
        <v>50</v>
      </c>
      <c r="D34" s="5" t="s">
        <v>51</v>
      </c>
      <c r="E34" s="5" t="s">
        <v>52</v>
      </c>
      <c r="F34" s="5" t="s">
        <v>53</v>
      </c>
      <c r="G34" s="5" t="s">
        <v>54</v>
      </c>
      <c r="H34" s="5" t="s">
        <v>55</v>
      </c>
      <c r="I34" s="5" t="s">
        <v>56</v>
      </c>
      <c r="J34" s="5" t="s">
        <v>57</v>
      </c>
      <c r="K34" s="5" t="s">
        <v>58</v>
      </c>
      <c r="L34" s="5" t="s">
        <v>36</v>
      </c>
      <c r="M34" s="5" t="s">
        <v>59</v>
      </c>
      <c r="N34" s="5" t="n">
        <v>3812.4</v>
      </c>
      <c r="O34" s="5" t="n">
        <v>3806.1</v>
      </c>
      <c r="P34" s="5" t="n">
        <v>3831.2</v>
      </c>
      <c r="Q34" s="5" t="s">
        <v>60</v>
      </c>
      <c r="R34" s="5" t="s">
        <v>41</v>
      </c>
      <c r="S34" s="5" t="s">
        <v>58</v>
      </c>
      <c r="T34" s="5" t="s">
        <v>61</v>
      </c>
      <c r="U34" s="5" t="s">
        <v>62</v>
      </c>
      <c r="V34" s="5" t="s">
        <v>63</v>
      </c>
    </row>
    <row r="35" customFormat="false" ht="15" hidden="false" customHeight="false" outlineLevel="0" collapsed="false">
      <c r="A35" s="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38"/>
    <col collapsed="false" customWidth="true" hidden="false" outlineLevel="0" max="3" min="3" style="0" width="70"/>
  </cols>
  <sheetData>
    <row r="1" customFormat="false" ht="19.7" hidden="false" customHeight="false" outlineLevel="0" collapsed="false">
      <c r="A1" s="1" t="s">
        <v>65</v>
      </c>
    </row>
    <row r="2" customFormat="false" ht="15" hidden="false" customHeight="false" outlineLevel="0" collapsed="false">
      <c r="A2" s="6" t="s">
        <v>66</v>
      </c>
    </row>
    <row r="4" customFormat="false" ht="15" hidden="false" customHeight="false" outlineLevel="0" collapsed="false">
      <c r="A4" s="4" t="s">
        <v>67</v>
      </c>
      <c r="B4" s="4" t="s">
        <v>68</v>
      </c>
    </row>
    <row r="5" customFormat="false" ht="15" hidden="false" customHeight="false" outlineLevel="0" collapsed="false">
      <c r="A5" s="7" t="s">
        <v>69</v>
      </c>
      <c r="B5" s="5"/>
    </row>
    <row r="6" customFormat="false" ht="15" hidden="false" customHeight="false" outlineLevel="0" collapsed="false">
      <c r="A6" s="7" t="s">
        <v>70</v>
      </c>
      <c r="B6" s="5"/>
    </row>
    <row r="7" customFormat="false" ht="15" hidden="false" customHeight="false" outlineLevel="0" collapsed="false">
      <c r="A7" s="7" t="s">
        <v>71</v>
      </c>
      <c r="B7" s="5"/>
    </row>
    <row r="8" customFormat="false" ht="15" hidden="false" customHeight="false" outlineLevel="0" collapsed="false">
      <c r="A8" s="7" t="s">
        <v>72</v>
      </c>
      <c r="B8" s="5"/>
    </row>
    <row r="9" customFormat="false" ht="15" hidden="false" customHeight="false" outlineLevel="0" collapsed="false">
      <c r="A9" s="7" t="s">
        <v>73</v>
      </c>
      <c r="B9" s="5"/>
    </row>
    <row r="10" customFormat="false" ht="15" hidden="false" customHeight="false" outlineLevel="0" collapsed="false">
      <c r="A10" s="7" t="s">
        <v>74</v>
      </c>
      <c r="B10" s="5"/>
    </row>
    <row r="11" customFormat="false" ht="15" hidden="false" customHeight="false" outlineLevel="0" collapsed="false">
      <c r="A11" s="7" t="s">
        <v>75</v>
      </c>
      <c r="B11" s="5"/>
    </row>
    <row r="13" customFormat="false" ht="15" hidden="false" customHeight="false" outlineLevel="0" collapsed="false">
      <c r="A13" s="8" t="s">
        <v>76</v>
      </c>
      <c r="B13" s="9" t="str">
        <f aca="false">COUNTIF(B5:B11,"Oui")&amp;" / 7"</f>
        <v>0 / 7</v>
      </c>
    </row>
    <row r="14" customFormat="false" ht="15" hidden="false" customHeight="false" outlineLevel="0" collapsed="false">
      <c r="A14" s="10" t="s">
        <v>77</v>
      </c>
      <c r="B14" s="11" t="n">
        <f aca="true">COUNTIF(Journal!$B$5:$B$304,TODAY())</f>
        <v>0</v>
      </c>
    </row>
    <row r="15" customFormat="false" ht="15" hidden="false" customHeight="false" outlineLevel="0" collapsed="false">
      <c r="A15" s="10" t="s">
        <v>78</v>
      </c>
      <c r="B15" s="12" t="n">
        <f aca="true">-SUMIFS(Journal!$AA$5:$AA$304,Journal!$B$5:$B$304,TODAY(),Journal!$AA$5:$AA$304,"&lt;0")</f>
        <v>-0</v>
      </c>
    </row>
    <row r="17" customFormat="false" ht="15" hidden="false" customHeight="false" outlineLevel="0" collapsed="false">
      <c r="A17" s="13" t="s">
        <v>79</v>
      </c>
      <c r="B17" s="14" t="str">
        <f aca="false">IF(B14&gt;=Paramètres!B10,"✘ PAS DE TRADE : quota du jour atteint",IF(B15&gt;=Paramètres!B11,"✘ PAS DE TRADE : perte max. du jour atteinte",IF(COUNTIF(B5:B11,"Oui")=7,"✔ TRADE AUTORISÉ (setup A+)",IF(COUNTBLANK(B5:B11)&gt;0,"… Répondez aux 7 questions","✘ PAS DE TRADE : il manque "&amp;(7-COUNTIF(B5:B11,"Oui"))&amp;" critère(s)"))))</f>
        <v>… Répondez aux 7 questions</v>
      </c>
    </row>
    <row r="20" customFormat="false" ht="15" hidden="false" customHeight="false" outlineLevel="0" collapsed="false">
      <c r="A20" s="13" t="s">
        <v>80</v>
      </c>
    </row>
    <row r="21" customFormat="false" ht="15" hidden="false" customHeight="false" outlineLevel="0" collapsed="false">
      <c r="A21" s="15" t="s">
        <v>81</v>
      </c>
      <c r="B21" s="16" t="n">
        <f aca="false">Paramètres!B4*(1+SUM(Journal!$AB$5:$AB$304))</f>
        <v>1000</v>
      </c>
    </row>
    <row r="22" customFormat="false" ht="15" hidden="false" customHeight="false" outlineLevel="0" collapsed="false">
      <c r="A22" s="15" t="s">
        <v>82</v>
      </c>
      <c r="B22" s="17" t="n">
        <f aca="false">Paramètres!B5</f>
        <v>0.005</v>
      </c>
      <c r="C22" s="6" t="s">
        <v>83</v>
      </c>
    </row>
    <row r="23" customFormat="false" ht="15" hidden="false" customHeight="false" outlineLevel="0" collapsed="false">
      <c r="A23" s="15" t="s">
        <v>84</v>
      </c>
      <c r="B23" s="5"/>
    </row>
    <row r="24" customFormat="false" ht="15" hidden="false" customHeight="false" outlineLevel="0" collapsed="false">
      <c r="A24" s="15" t="s">
        <v>85</v>
      </c>
      <c r="B24" s="5"/>
    </row>
    <row r="25" customFormat="false" ht="15" hidden="false" customHeight="false" outlineLevel="0" collapsed="false">
      <c r="A25" s="15" t="s">
        <v>86</v>
      </c>
      <c r="B25" s="18" t="n">
        <v>100</v>
      </c>
      <c r="C25" s="6" t="s">
        <v>87</v>
      </c>
    </row>
    <row r="26" customFormat="false" ht="15" hidden="false" customHeight="false" outlineLevel="0" collapsed="false">
      <c r="A26" s="15" t="s">
        <v>88</v>
      </c>
      <c r="B26" s="19" t="n">
        <f aca="false">B21*B22</f>
        <v>5</v>
      </c>
    </row>
    <row r="27" customFormat="false" ht="15" hidden="false" customHeight="false" outlineLevel="0" collapsed="false">
      <c r="A27" s="15" t="s">
        <v>89</v>
      </c>
      <c r="B27" s="20" t="str">
        <f aca="false">IF(OR(B23="",B24=""),"",ABS(B23-B24))</f>
        <v/>
      </c>
    </row>
    <row r="28" customFormat="false" ht="15" hidden="false" customHeight="false" outlineLevel="0" collapsed="false">
      <c r="A28" s="15" t="s">
        <v>90</v>
      </c>
      <c r="B28" s="21" t="str">
        <f aca="false">IF(OR(B27="",N(B27)=0),"",ROUNDDOWN(B26/(B27*B25),2))</f>
        <v/>
      </c>
      <c r="C28" s="6" t="s">
        <v>91</v>
      </c>
    </row>
    <row r="29" customFormat="false" ht="15" hidden="false" customHeight="false" outlineLevel="0" collapsed="false">
      <c r="A29" s="15" t="s">
        <v>92</v>
      </c>
      <c r="B29" s="20" t="str">
        <f aca="false">IF(B27="","",B23+(B23-B24)*Paramètres!B6)</f>
        <v/>
      </c>
    </row>
    <row r="30" customFormat="false" ht="15" hidden="false" customHeight="false" outlineLevel="0" collapsed="false">
      <c r="A30" s="15" t="s">
        <v>93</v>
      </c>
      <c r="B30" s="20" t="str">
        <f aca="false">IF(B27="","",B23+(B23-B24)*2)</f>
        <v/>
      </c>
    </row>
  </sheetData>
  <conditionalFormatting sqref="B17">
    <cfRule type="expression" priority="2" aboveAverage="0" equalAverage="0" bottom="0" percent="0" rank="0" text="" dxfId="0">
      <formula>LEFT(B17,1)="✔"</formula>
    </cfRule>
    <cfRule type="expression" priority="3" aboveAverage="0" equalAverage="0" bottom="0" percent="0" rank="0" text="" dxfId="1">
      <formula>LEFT(B17,1)="✘"</formula>
    </cfRule>
  </conditionalFormatting>
  <dataValidations count="1">
    <dataValidation allowBlank="true" errorStyle="stop" operator="between" showDropDown="false" showErrorMessage="false" showInputMessage="false" sqref="B5:B11" type="list">
      <formula1>Paramètres!$L$4:$L$10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3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1" min="10" style="0" width="11"/>
    <col collapsed="false" customWidth="true" hidden="false" outlineLevel="0" max="12" min="12" style="0" width="8"/>
    <col collapsed="false" customWidth="true" hidden="false" outlineLevel="0" max="13" min="13" style="0" width="10"/>
    <col collapsed="false" customWidth="true" hidden="false" outlineLevel="0" max="14" min="14" style="0" width="11"/>
    <col collapsed="false" customWidth="true" hidden="false" outlineLevel="0" max="15" min="15" style="0" width="9"/>
    <col collapsed="false" customWidth="true" hidden="false" outlineLevel="0" max="17" min="16" style="0" width="7"/>
    <col collapsed="false" customWidth="true" hidden="false" outlineLevel="0" max="21" min="18" style="0" width="11"/>
    <col collapsed="false" customWidth="true" hidden="false" outlineLevel="0" max="22" min="22" style="0" width="10"/>
    <col collapsed="false" customWidth="true" hidden="false" outlineLevel="0" max="23" min="23" style="0" width="8"/>
    <col collapsed="false" customWidth="true" hidden="false" outlineLevel="0" max="24" min="24" style="0" width="9"/>
    <col collapsed="false" customWidth="true" hidden="false" outlineLevel="0" max="25" min="25" style="0" width="12"/>
    <col collapsed="false" customWidth="true" hidden="false" outlineLevel="0" max="28" min="26" style="0" width="9"/>
    <col collapsed="false" customWidth="true" hidden="false" outlineLevel="0" max="29" min="29" style="0" width="11"/>
    <col collapsed="false" customWidth="true" hidden="false" outlineLevel="0" max="30" min="30" style="0" width="9"/>
    <col collapsed="false" customWidth="true" hidden="false" outlineLevel="0" max="31" min="31" style="0" width="10"/>
    <col collapsed="false" customWidth="true" hidden="false" outlineLevel="0" max="32" min="32" style="0" width="14"/>
    <col collapsed="false" customWidth="true" hidden="false" outlineLevel="0" max="33" min="33" style="0" width="16"/>
    <col collapsed="false" customWidth="true" hidden="false" outlineLevel="0" max="34" min="34" style="0" width="30"/>
    <col collapsed="false" customWidth="true" hidden="false" outlineLevel="0" max="37" min="35" style="0" width="8"/>
    <col collapsed="false" customWidth="true" hidden="false" outlineLevel="0" max="38" min="38" style="0" width="7"/>
    <col collapsed="false" customWidth="true" hidden="false" outlineLevel="0" max="39" min="39" style="0" width="10"/>
  </cols>
  <sheetData>
    <row r="1" customFormat="false" ht="19.7" hidden="false" customHeight="false" outlineLevel="0" collapsed="false">
      <c r="A1" s="1" t="s">
        <v>94</v>
      </c>
    </row>
    <row r="2" customFormat="false" ht="15" hidden="false" customHeight="false" outlineLevel="0" collapsed="false">
      <c r="A2" s="6" t="s">
        <v>95</v>
      </c>
    </row>
    <row r="3" customFormat="false" ht="15" hidden="false" customHeight="true" outlineLevel="0" collapsed="false">
      <c r="A3" s="22" t="s">
        <v>96</v>
      </c>
      <c r="B3" s="22"/>
      <c r="C3" s="22"/>
      <c r="D3" s="22"/>
      <c r="E3" s="22" t="s">
        <v>97</v>
      </c>
      <c r="F3" s="22"/>
      <c r="G3" s="22"/>
      <c r="H3" s="22"/>
      <c r="I3" s="22" t="s">
        <v>98</v>
      </c>
      <c r="J3" s="22"/>
      <c r="K3" s="22"/>
      <c r="L3" s="22"/>
      <c r="M3" s="22"/>
      <c r="N3" s="22"/>
      <c r="O3" s="22"/>
      <c r="P3" s="22"/>
      <c r="Q3" s="22"/>
      <c r="R3" s="22" t="s">
        <v>99</v>
      </c>
      <c r="S3" s="22"/>
      <c r="T3" s="22"/>
      <c r="U3" s="22"/>
      <c r="V3" s="22"/>
      <c r="W3" s="22"/>
      <c r="X3" s="22"/>
      <c r="Y3" s="22" t="s">
        <v>100</v>
      </c>
      <c r="Z3" s="22"/>
      <c r="AA3" s="22"/>
      <c r="AB3" s="22"/>
      <c r="AC3" s="22"/>
      <c r="AD3" s="22" t="s">
        <v>101</v>
      </c>
      <c r="AE3" s="22"/>
      <c r="AF3" s="22"/>
      <c r="AG3" s="22"/>
      <c r="AH3" s="22"/>
      <c r="AI3" s="22" t="s">
        <v>102</v>
      </c>
      <c r="AJ3" s="22"/>
      <c r="AK3" s="22"/>
      <c r="AL3" s="22"/>
      <c r="AM3" s="22"/>
    </row>
    <row r="4" customFormat="false" ht="42" hidden="false" customHeight="true" outlineLevel="0" collapsed="false">
      <c r="A4" s="23" t="s">
        <v>103</v>
      </c>
      <c r="B4" s="24" t="s">
        <v>26</v>
      </c>
      <c r="C4" s="23" t="s">
        <v>104</v>
      </c>
      <c r="D4" s="24" t="s">
        <v>105</v>
      </c>
      <c r="E4" s="24" t="s">
        <v>28</v>
      </c>
      <c r="F4" s="24" t="s">
        <v>106</v>
      </c>
      <c r="G4" s="24" t="s">
        <v>30</v>
      </c>
      <c r="H4" s="24" t="s">
        <v>31</v>
      </c>
      <c r="I4" s="24" t="s">
        <v>107</v>
      </c>
      <c r="J4" s="24" t="s">
        <v>108</v>
      </c>
      <c r="K4" s="24" t="s">
        <v>109</v>
      </c>
      <c r="L4" s="24" t="s">
        <v>35</v>
      </c>
      <c r="M4" s="24" t="s">
        <v>110</v>
      </c>
      <c r="N4" s="24" t="s">
        <v>111</v>
      </c>
      <c r="O4" s="24" t="s">
        <v>112</v>
      </c>
      <c r="P4" s="23" t="s">
        <v>113</v>
      </c>
      <c r="Q4" s="23" t="s">
        <v>114</v>
      </c>
      <c r="R4" s="24" t="s">
        <v>84</v>
      </c>
      <c r="S4" s="24" t="s">
        <v>85</v>
      </c>
      <c r="T4" s="23" t="s">
        <v>115</v>
      </c>
      <c r="U4" s="24" t="s">
        <v>116</v>
      </c>
      <c r="V4" s="23" t="s">
        <v>117</v>
      </c>
      <c r="W4" s="23" t="s">
        <v>118</v>
      </c>
      <c r="X4" s="24" t="s">
        <v>119</v>
      </c>
      <c r="Y4" s="24" t="s">
        <v>43</v>
      </c>
      <c r="Z4" s="24" t="s">
        <v>120</v>
      </c>
      <c r="AA4" s="23" t="s">
        <v>121</v>
      </c>
      <c r="AB4" s="23" t="s">
        <v>122</v>
      </c>
      <c r="AC4" s="23" t="s">
        <v>123</v>
      </c>
      <c r="AD4" s="24" t="s">
        <v>124</v>
      </c>
      <c r="AE4" s="24" t="s">
        <v>45</v>
      </c>
      <c r="AF4" s="24" t="s">
        <v>125</v>
      </c>
      <c r="AG4" s="24" t="s">
        <v>126</v>
      </c>
      <c r="AH4" s="24" t="s">
        <v>127</v>
      </c>
      <c r="AI4" s="23" t="s">
        <v>128</v>
      </c>
      <c r="AJ4" s="23" t="s">
        <v>129</v>
      </c>
      <c r="AK4" s="23" t="s">
        <v>130</v>
      </c>
      <c r="AL4" s="23" t="s">
        <v>131</v>
      </c>
      <c r="AM4" s="23" t="s">
        <v>132</v>
      </c>
    </row>
    <row r="5" customFormat="false" ht="15" hidden="false" customHeight="false" outlineLevel="0" collapsed="false">
      <c r="A5" s="25" t="str">
        <f aca="false">IF(B5="","",ROW()-4)</f>
        <v/>
      </c>
      <c r="B5" s="26"/>
      <c r="C5" s="27" t="str">
        <f aca="false">IF(B5="","",CHOOSE(WEEKDAY(B5,2),"Lundi","Mardi","Mercredi","Jeudi","Vendredi","Samedi","Dimanche"))</f>
        <v/>
      </c>
      <c r="D5" s="28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5" t="str">
        <f aca="false">IF(B5="","",OR(AND(H5="Achat",I5="Haussier"),AND(H5="Vente",I5="Baissier"))*1+OR(AND(H5="Achat",J5="Discount"),AND(H5="Vente",J5="Premium"))*1+AND(K5&lt;&gt;"",K5&lt;&gt;"Aucune")*1+OR(L5="CHoCH",L5="BOS")*1+(M5="Oui")*1+OR(G5="Londres",G5="New York")*1+(O5="Non")*1)</f>
        <v/>
      </c>
      <c r="Q5" s="27" t="str">
        <f aca="false">IF(P5="","",IF(P5=7,"A+",IF(P5&gt;=5,"B","C")))</f>
        <v/>
      </c>
      <c r="R5" s="29"/>
      <c r="S5" s="29"/>
      <c r="T5" s="27" t="str">
        <f aca="false">IF(OR(R5="",S5=""),"",R5+(R5-S5)*Paramètres!$B$6)</f>
        <v/>
      </c>
      <c r="U5" s="29"/>
      <c r="V5" s="27" t="str">
        <f aca="false">IF(OR(R5="",S5=""),"",ABS(R5-S5))</f>
        <v/>
      </c>
      <c r="W5" s="30" t="str">
        <f aca="false">IF(OR(U5="",V5="",N(V5)=0),"",ABS(U5-R5)/V5)</f>
        <v/>
      </c>
      <c r="X5" s="31"/>
      <c r="Y5" s="29"/>
      <c r="Z5" s="32"/>
      <c r="AA5" s="33" t="str">
        <f aca="false">IF(Y5="","",IF(Y5="Stop",-1,IF(Y5="BE",0,IF(Y5="TP1 + BE",Paramètres!$B$7*Paramètres!$B$6,IF(Y5="TP1 (100 %)",Paramètres!$B$6,IF(Y5="TP2",Paramètres!$B$7*Paramètres!$B$6+(1-Paramètres!$B$7)*N(W5),IF(Y5="Sortie manuelle",N(Z5),"")))))))</f>
        <v/>
      </c>
      <c r="AB5" s="34" t="str">
        <f aca="false">IF(AA5="","",AA5*IF(X5="",Paramètres!$B$5,X5))</f>
        <v/>
      </c>
      <c r="AC5" s="35" t="str">
        <f aca="false">IF(AB5="","",Paramètres!$B$4*(1+SUM(AB$5:AB5)))</f>
        <v/>
      </c>
      <c r="AD5" s="29"/>
      <c r="AE5" s="29"/>
      <c r="AF5" s="29"/>
      <c r="AG5" s="36"/>
      <c r="AH5" s="36"/>
      <c r="AI5" s="33" t="str">
        <f aca="false">IF(AA5="","",SUM(AA$5:AA5))</f>
        <v/>
      </c>
      <c r="AJ5" s="33" t="str">
        <f aca="false">IF(AI5="","",MAX(AI5,0))</f>
        <v/>
      </c>
      <c r="AK5" s="33" t="str">
        <f aca="false">IF(AI5="","",AI5-AJ5)</f>
        <v/>
      </c>
      <c r="AL5" s="25" t="str">
        <f aca="false">IF(AA5="","",IF(AA5&lt;0,1,0))</f>
        <v/>
      </c>
      <c r="AM5" s="37" t="str">
        <f aca="false">IF(B5="","",B5-WEEKDAY(B5,2)+1)</f>
        <v/>
      </c>
    </row>
    <row r="6" customFormat="false" ht="15" hidden="false" customHeight="false" outlineLevel="0" collapsed="false">
      <c r="A6" s="25" t="str">
        <f aca="false">IF(B6="","",ROW()-4)</f>
        <v/>
      </c>
      <c r="B6" s="26"/>
      <c r="C6" s="27" t="str">
        <f aca="false">IF(B6="","",CHOOSE(WEEKDAY(B6,2),"Lundi","Mardi","Mercredi","Jeudi","Vendredi","Samedi","Dimanche"))</f>
        <v/>
      </c>
      <c r="D6" s="28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5" t="str">
        <f aca="false">IF(B6="","",OR(AND(H6="Achat",I6="Haussier"),AND(H6="Vente",I6="Baissier"))*1+OR(AND(H6="Achat",J6="Discount"),AND(H6="Vente",J6="Premium"))*1+AND(K6&lt;&gt;"",K6&lt;&gt;"Aucune")*1+OR(L6="CHoCH",L6="BOS")*1+(M6="Oui")*1+OR(G6="Londres",G6="New York")*1+(O6="Non")*1)</f>
        <v/>
      </c>
      <c r="Q6" s="27" t="str">
        <f aca="false">IF(P6="","",IF(P6=7,"A+",IF(P6&gt;=5,"B","C")))</f>
        <v/>
      </c>
      <c r="R6" s="29"/>
      <c r="S6" s="29"/>
      <c r="T6" s="27" t="str">
        <f aca="false">IF(OR(R6="",S6=""),"",R6+(R6-S6)*Paramètres!$B$6)</f>
        <v/>
      </c>
      <c r="U6" s="29"/>
      <c r="V6" s="27" t="str">
        <f aca="false">IF(OR(R6="",S6=""),"",ABS(R6-S6))</f>
        <v/>
      </c>
      <c r="W6" s="30" t="str">
        <f aca="false">IF(OR(U6="",V6="",N(V6)=0),"",ABS(U6-R6)/V6)</f>
        <v/>
      </c>
      <c r="X6" s="31"/>
      <c r="Y6" s="29"/>
      <c r="Z6" s="32"/>
      <c r="AA6" s="33" t="str">
        <f aca="false">IF(Y6="","",IF(Y6="Stop",-1,IF(Y6="BE",0,IF(Y6="TP1 + BE",Paramètres!$B$7*Paramètres!$B$6,IF(Y6="TP1 (100 %)",Paramètres!$B$6,IF(Y6="TP2",Paramètres!$B$7*Paramètres!$B$6+(1-Paramètres!$B$7)*N(W6),IF(Y6="Sortie manuelle",N(Z6),"")))))))</f>
        <v/>
      </c>
      <c r="AB6" s="34" t="str">
        <f aca="false">IF(AA6="","",AA6*IF(X6="",Paramètres!$B$5,X6))</f>
        <v/>
      </c>
      <c r="AC6" s="35" t="str">
        <f aca="false">IF(AB6="","",Paramètres!$B$4*(1+SUM(AB$5:AB6)))</f>
        <v/>
      </c>
      <c r="AD6" s="29"/>
      <c r="AE6" s="29"/>
      <c r="AF6" s="29"/>
      <c r="AG6" s="36"/>
      <c r="AH6" s="36"/>
      <c r="AI6" s="33" t="str">
        <f aca="false">IF(AA6="","",SUM(AA$5:AA6))</f>
        <v/>
      </c>
      <c r="AJ6" s="33" t="str">
        <f aca="false">IF(AI6="","",MAX(AI6,MAX(AJ$5:AJ5),0))</f>
        <v/>
      </c>
      <c r="AK6" s="33" t="str">
        <f aca="false">IF(AI6="","",AI6-AJ6)</f>
        <v/>
      </c>
      <c r="AL6" s="25" t="str">
        <f aca="false">IF(AA6="","",IF(AA6&lt;0,N(AL5)+1,0))</f>
        <v/>
      </c>
      <c r="AM6" s="37" t="str">
        <f aca="false">IF(B6="","",B6-WEEKDAY(B6,2)+1)</f>
        <v/>
      </c>
    </row>
    <row r="7" customFormat="false" ht="15" hidden="false" customHeight="false" outlineLevel="0" collapsed="false">
      <c r="A7" s="25" t="str">
        <f aca="false">IF(B7="","",ROW()-4)</f>
        <v/>
      </c>
      <c r="B7" s="26"/>
      <c r="C7" s="27" t="str">
        <f aca="false">IF(B7="","",CHOOSE(WEEKDAY(B7,2),"Lundi","Mardi","Mercredi","Jeudi","Vendredi","Samedi","Dimanche"))</f>
        <v/>
      </c>
      <c r="D7" s="28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5" t="str">
        <f aca="false">IF(B7="","",OR(AND(H7="Achat",I7="Haussier"),AND(H7="Vente",I7="Baissier"))*1+OR(AND(H7="Achat",J7="Discount"),AND(H7="Vente",J7="Premium"))*1+AND(K7&lt;&gt;"",K7&lt;&gt;"Aucune")*1+OR(L7="CHoCH",L7="BOS")*1+(M7="Oui")*1+OR(G7="Londres",G7="New York")*1+(O7="Non")*1)</f>
        <v/>
      </c>
      <c r="Q7" s="27" t="str">
        <f aca="false">IF(P7="","",IF(P7=7,"A+",IF(P7&gt;=5,"B","C")))</f>
        <v/>
      </c>
      <c r="R7" s="29"/>
      <c r="S7" s="29"/>
      <c r="T7" s="27" t="str">
        <f aca="false">IF(OR(R7="",S7=""),"",R7+(R7-S7)*Paramètres!$B$6)</f>
        <v/>
      </c>
      <c r="U7" s="29"/>
      <c r="V7" s="27" t="str">
        <f aca="false">IF(OR(R7="",S7=""),"",ABS(R7-S7))</f>
        <v/>
      </c>
      <c r="W7" s="30" t="str">
        <f aca="false">IF(OR(U7="",V7="",N(V7)=0),"",ABS(U7-R7)/V7)</f>
        <v/>
      </c>
      <c r="X7" s="31"/>
      <c r="Y7" s="29"/>
      <c r="Z7" s="32"/>
      <c r="AA7" s="33" t="str">
        <f aca="false">IF(Y7="","",IF(Y7="Stop",-1,IF(Y7="BE",0,IF(Y7="TP1 + BE",Paramètres!$B$7*Paramètres!$B$6,IF(Y7="TP1 (100 %)",Paramètres!$B$6,IF(Y7="TP2",Paramètres!$B$7*Paramètres!$B$6+(1-Paramètres!$B$7)*N(W7),IF(Y7="Sortie manuelle",N(Z7),"")))))))</f>
        <v/>
      </c>
      <c r="AB7" s="34" t="str">
        <f aca="false">IF(AA7="","",AA7*IF(X7="",Paramètres!$B$5,X7))</f>
        <v/>
      </c>
      <c r="AC7" s="35" t="str">
        <f aca="false">IF(AB7="","",Paramètres!$B$4*(1+SUM(AB$5:AB7)))</f>
        <v/>
      </c>
      <c r="AD7" s="29"/>
      <c r="AE7" s="29"/>
      <c r="AF7" s="29"/>
      <c r="AG7" s="36"/>
      <c r="AH7" s="36"/>
      <c r="AI7" s="33" t="str">
        <f aca="false">IF(AA7="","",SUM(AA$5:AA7))</f>
        <v/>
      </c>
      <c r="AJ7" s="33" t="str">
        <f aca="false">IF(AI7="","",MAX(AI7,MAX(AJ$5:AJ6),0))</f>
        <v/>
      </c>
      <c r="AK7" s="33" t="str">
        <f aca="false">IF(AI7="","",AI7-AJ7)</f>
        <v/>
      </c>
      <c r="AL7" s="25" t="str">
        <f aca="false">IF(AA7="","",IF(AA7&lt;0,N(AL6)+1,0))</f>
        <v/>
      </c>
      <c r="AM7" s="37" t="str">
        <f aca="false">IF(B7="","",B7-WEEKDAY(B7,2)+1)</f>
        <v/>
      </c>
    </row>
    <row r="8" customFormat="false" ht="15" hidden="false" customHeight="false" outlineLevel="0" collapsed="false">
      <c r="A8" s="25" t="str">
        <f aca="false">IF(B8="","",ROW()-4)</f>
        <v/>
      </c>
      <c r="B8" s="26"/>
      <c r="C8" s="27" t="str">
        <f aca="false">IF(B8="","",CHOOSE(WEEKDAY(B8,2),"Lundi","Mardi","Mercredi","Jeudi","Vendredi","Samedi","Dimanche"))</f>
        <v/>
      </c>
      <c r="D8" s="28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5" t="str">
        <f aca="false">IF(B8="","",OR(AND(H8="Achat",I8="Haussier"),AND(H8="Vente",I8="Baissier"))*1+OR(AND(H8="Achat",J8="Discount"),AND(H8="Vente",J8="Premium"))*1+AND(K8&lt;&gt;"",K8&lt;&gt;"Aucune")*1+OR(L8="CHoCH",L8="BOS")*1+(M8="Oui")*1+OR(G8="Londres",G8="New York")*1+(O8="Non")*1)</f>
        <v/>
      </c>
      <c r="Q8" s="27" t="str">
        <f aca="false">IF(P8="","",IF(P8=7,"A+",IF(P8&gt;=5,"B","C")))</f>
        <v/>
      </c>
      <c r="R8" s="29"/>
      <c r="S8" s="29"/>
      <c r="T8" s="27" t="str">
        <f aca="false">IF(OR(R8="",S8=""),"",R8+(R8-S8)*Paramètres!$B$6)</f>
        <v/>
      </c>
      <c r="U8" s="29"/>
      <c r="V8" s="27" t="str">
        <f aca="false">IF(OR(R8="",S8=""),"",ABS(R8-S8))</f>
        <v/>
      </c>
      <c r="W8" s="30" t="str">
        <f aca="false">IF(OR(U8="",V8="",N(V8)=0),"",ABS(U8-R8)/V8)</f>
        <v/>
      </c>
      <c r="X8" s="31"/>
      <c r="Y8" s="29"/>
      <c r="Z8" s="32"/>
      <c r="AA8" s="33" t="str">
        <f aca="false">IF(Y8="","",IF(Y8="Stop",-1,IF(Y8="BE",0,IF(Y8="TP1 + BE",Paramètres!$B$7*Paramètres!$B$6,IF(Y8="TP1 (100 %)",Paramètres!$B$6,IF(Y8="TP2",Paramètres!$B$7*Paramètres!$B$6+(1-Paramètres!$B$7)*N(W8),IF(Y8="Sortie manuelle",N(Z8),"")))))))</f>
        <v/>
      </c>
      <c r="AB8" s="34" t="str">
        <f aca="false">IF(AA8="","",AA8*IF(X8="",Paramètres!$B$5,X8))</f>
        <v/>
      </c>
      <c r="AC8" s="35" t="str">
        <f aca="false">IF(AB8="","",Paramètres!$B$4*(1+SUM(AB$5:AB8)))</f>
        <v/>
      </c>
      <c r="AD8" s="29"/>
      <c r="AE8" s="29"/>
      <c r="AF8" s="29"/>
      <c r="AG8" s="36"/>
      <c r="AH8" s="36"/>
      <c r="AI8" s="33" t="str">
        <f aca="false">IF(AA8="","",SUM(AA$5:AA8))</f>
        <v/>
      </c>
      <c r="AJ8" s="33" t="str">
        <f aca="false">IF(AI8="","",MAX(AI8,MAX(AJ$5:AJ7),0))</f>
        <v/>
      </c>
      <c r="AK8" s="33" t="str">
        <f aca="false">IF(AI8="","",AI8-AJ8)</f>
        <v/>
      </c>
      <c r="AL8" s="25" t="str">
        <f aca="false">IF(AA8="","",IF(AA8&lt;0,N(AL7)+1,0))</f>
        <v/>
      </c>
      <c r="AM8" s="37" t="str">
        <f aca="false">IF(B8="","",B8-WEEKDAY(B8,2)+1)</f>
        <v/>
      </c>
    </row>
    <row r="9" customFormat="false" ht="15" hidden="false" customHeight="false" outlineLevel="0" collapsed="false">
      <c r="A9" s="25" t="str">
        <f aca="false">IF(B9="","",ROW()-4)</f>
        <v/>
      </c>
      <c r="B9" s="26"/>
      <c r="C9" s="27" t="str">
        <f aca="false">IF(B9="","",CHOOSE(WEEKDAY(B9,2),"Lundi","Mardi","Mercredi","Jeudi","Vendredi","Samedi","Dimanche"))</f>
        <v/>
      </c>
      <c r="D9" s="28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5" t="str">
        <f aca="false">IF(B9="","",OR(AND(H9="Achat",I9="Haussier"),AND(H9="Vente",I9="Baissier"))*1+OR(AND(H9="Achat",J9="Discount"),AND(H9="Vente",J9="Premium"))*1+AND(K9&lt;&gt;"",K9&lt;&gt;"Aucune")*1+OR(L9="CHoCH",L9="BOS")*1+(M9="Oui")*1+OR(G9="Londres",G9="New York")*1+(O9="Non")*1)</f>
        <v/>
      </c>
      <c r="Q9" s="27" t="str">
        <f aca="false">IF(P9="","",IF(P9=7,"A+",IF(P9&gt;=5,"B","C")))</f>
        <v/>
      </c>
      <c r="R9" s="29"/>
      <c r="S9" s="29"/>
      <c r="T9" s="27" t="str">
        <f aca="false">IF(OR(R9="",S9=""),"",R9+(R9-S9)*Paramètres!$B$6)</f>
        <v/>
      </c>
      <c r="U9" s="29"/>
      <c r="V9" s="27" t="str">
        <f aca="false">IF(OR(R9="",S9=""),"",ABS(R9-S9))</f>
        <v/>
      </c>
      <c r="W9" s="30" t="str">
        <f aca="false">IF(OR(U9="",V9="",N(V9)=0),"",ABS(U9-R9)/V9)</f>
        <v/>
      </c>
      <c r="X9" s="31"/>
      <c r="Y9" s="29"/>
      <c r="Z9" s="32"/>
      <c r="AA9" s="33" t="str">
        <f aca="false">IF(Y9="","",IF(Y9="Stop",-1,IF(Y9="BE",0,IF(Y9="TP1 + BE",Paramètres!$B$7*Paramètres!$B$6,IF(Y9="TP1 (100 %)",Paramètres!$B$6,IF(Y9="TP2",Paramètres!$B$7*Paramètres!$B$6+(1-Paramètres!$B$7)*N(W9),IF(Y9="Sortie manuelle",N(Z9),"")))))))</f>
        <v/>
      </c>
      <c r="AB9" s="34" t="str">
        <f aca="false">IF(AA9="","",AA9*IF(X9="",Paramètres!$B$5,X9))</f>
        <v/>
      </c>
      <c r="AC9" s="35" t="str">
        <f aca="false">IF(AB9="","",Paramètres!$B$4*(1+SUM(AB$5:AB9)))</f>
        <v/>
      </c>
      <c r="AD9" s="29"/>
      <c r="AE9" s="29"/>
      <c r="AF9" s="29"/>
      <c r="AG9" s="36"/>
      <c r="AH9" s="36"/>
      <c r="AI9" s="33" t="str">
        <f aca="false">IF(AA9="","",SUM(AA$5:AA9))</f>
        <v/>
      </c>
      <c r="AJ9" s="33" t="str">
        <f aca="false">IF(AI9="","",MAX(AI9,MAX(AJ$5:AJ8),0))</f>
        <v/>
      </c>
      <c r="AK9" s="33" t="str">
        <f aca="false">IF(AI9="","",AI9-AJ9)</f>
        <v/>
      </c>
      <c r="AL9" s="25" t="str">
        <f aca="false">IF(AA9="","",IF(AA9&lt;0,N(AL8)+1,0))</f>
        <v/>
      </c>
      <c r="AM9" s="37" t="str">
        <f aca="false">IF(B9="","",B9-WEEKDAY(B9,2)+1)</f>
        <v/>
      </c>
    </row>
    <row r="10" customFormat="false" ht="15" hidden="false" customHeight="false" outlineLevel="0" collapsed="false">
      <c r="A10" s="25" t="str">
        <f aca="false">IF(B10="","",ROW()-4)</f>
        <v/>
      </c>
      <c r="B10" s="26"/>
      <c r="C10" s="27" t="str">
        <f aca="false">IF(B10="","",CHOOSE(WEEKDAY(B10,2),"Lundi","Mardi","Mercredi","Jeudi","Vendredi","Samedi","Dimanche"))</f>
        <v/>
      </c>
      <c r="D10" s="28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5" t="str">
        <f aca="false">IF(B10="","",OR(AND(H10="Achat",I10="Haussier"),AND(H10="Vente",I10="Baissier"))*1+OR(AND(H10="Achat",J10="Discount"),AND(H10="Vente",J10="Premium"))*1+AND(K10&lt;&gt;"",K10&lt;&gt;"Aucune")*1+OR(L10="CHoCH",L10="BOS")*1+(M10="Oui")*1+OR(G10="Londres",G10="New York")*1+(O10="Non")*1)</f>
        <v/>
      </c>
      <c r="Q10" s="27" t="str">
        <f aca="false">IF(P10="","",IF(P10=7,"A+",IF(P10&gt;=5,"B","C")))</f>
        <v/>
      </c>
      <c r="R10" s="29"/>
      <c r="S10" s="29"/>
      <c r="T10" s="27" t="str">
        <f aca="false">IF(OR(R10="",S10=""),"",R10+(R10-S10)*Paramètres!$B$6)</f>
        <v/>
      </c>
      <c r="U10" s="29"/>
      <c r="V10" s="27" t="str">
        <f aca="false">IF(OR(R10="",S10=""),"",ABS(R10-S10))</f>
        <v/>
      </c>
      <c r="W10" s="30" t="str">
        <f aca="false">IF(OR(U10="",V10="",N(V10)=0),"",ABS(U10-R10)/V10)</f>
        <v/>
      </c>
      <c r="X10" s="31"/>
      <c r="Y10" s="29"/>
      <c r="Z10" s="32"/>
      <c r="AA10" s="33" t="str">
        <f aca="false">IF(Y10="","",IF(Y10="Stop",-1,IF(Y10="BE",0,IF(Y10="TP1 + BE",Paramètres!$B$7*Paramètres!$B$6,IF(Y10="TP1 (100 %)",Paramètres!$B$6,IF(Y10="TP2",Paramètres!$B$7*Paramètres!$B$6+(1-Paramètres!$B$7)*N(W10),IF(Y10="Sortie manuelle",N(Z10),"")))))))</f>
        <v/>
      </c>
      <c r="AB10" s="34" t="str">
        <f aca="false">IF(AA10="","",AA10*IF(X10="",Paramètres!$B$5,X10))</f>
        <v/>
      </c>
      <c r="AC10" s="35" t="str">
        <f aca="false">IF(AB10="","",Paramètres!$B$4*(1+SUM(AB$5:AB10)))</f>
        <v/>
      </c>
      <c r="AD10" s="29"/>
      <c r="AE10" s="29"/>
      <c r="AF10" s="29"/>
      <c r="AG10" s="36"/>
      <c r="AH10" s="36"/>
      <c r="AI10" s="33" t="str">
        <f aca="false">IF(AA10="","",SUM(AA$5:AA10))</f>
        <v/>
      </c>
      <c r="AJ10" s="33" t="str">
        <f aca="false">IF(AI10="","",MAX(AI10,MAX(AJ$5:AJ9),0))</f>
        <v/>
      </c>
      <c r="AK10" s="33" t="str">
        <f aca="false">IF(AI10="","",AI10-AJ10)</f>
        <v/>
      </c>
      <c r="AL10" s="25" t="str">
        <f aca="false">IF(AA10="","",IF(AA10&lt;0,N(AL9)+1,0))</f>
        <v/>
      </c>
      <c r="AM10" s="37" t="str">
        <f aca="false">IF(B10="","",B10-WEEKDAY(B10,2)+1)</f>
        <v/>
      </c>
    </row>
    <row r="11" customFormat="false" ht="15" hidden="false" customHeight="false" outlineLevel="0" collapsed="false">
      <c r="A11" s="25" t="str">
        <f aca="false">IF(B11="","",ROW()-4)</f>
        <v/>
      </c>
      <c r="B11" s="26"/>
      <c r="C11" s="27" t="str">
        <f aca="false">IF(B11="","",CHOOSE(WEEKDAY(B11,2),"Lundi","Mardi","Mercredi","Jeudi","Vendredi","Samedi","Dimanche"))</f>
        <v/>
      </c>
      <c r="D11" s="28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5" t="str">
        <f aca="false">IF(B11="","",OR(AND(H11="Achat",I11="Haussier"),AND(H11="Vente",I11="Baissier"))*1+OR(AND(H11="Achat",J11="Discount"),AND(H11="Vente",J11="Premium"))*1+AND(K11&lt;&gt;"",K11&lt;&gt;"Aucune")*1+OR(L11="CHoCH",L11="BOS")*1+(M11="Oui")*1+OR(G11="Londres",G11="New York")*1+(O11="Non")*1)</f>
        <v/>
      </c>
      <c r="Q11" s="27" t="str">
        <f aca="false">IF(P11="","",IF(P11=7,"A+",IF(P11&gt;=5,"B","C")))</f>
        <v/>
      </c>
      <c r="R11" s="29"/>
      <c r="S11" s="29"/>
      <c r="T11" s="27" t="str">
        <f aca="false">IF(OR(R11="",S11=""),"",R11+(R11-S11)*Paramètres!$B$6)</f>
        <v/>
      </c>
      <c r="U11" s="29"/>
      <c r="V11" s="27" t="str">
        <f aca="false">IF(OR(R11="",S11=""),"",ABS(R11-S11))</f>
        <v/>
      </c>
      <c r="W11" s="30" t="str">
        <f aca="false">IF(OR(U11="",V11="",N(V11)=0),"",ABS(U11-R11)/V11)</f>
        <v/>
      </c>
      <c r="X11" s="31"/>
      <c r="Y11" s="29"/>
      <c r="Z11" s="32"/>
      <c r="AA11" s="33" t="str">
        <f aca="false">IF(Y11="","",IF(Y11="Stop",-1,IF(Y11="BE",0,IF(Y11="TP1 + BE",Paramètres!$B$7*Paramètres!$B$6,IF(Y11="TP1 (100 %)",Paramètres!$B$6,IF(Y11="TP2",Paramètres!$B$7*Paramètres!$B$6+(1-Paramètres!$B$7)*N(W11),IF(Y11="Sortie manuelle",N(Z11),"")))))))</f>
        <v/>
      </c>
      <c r="AB11" s="34" t="str">
        <f aca="false">IF(AA11="","",AA11*IF(X11="",Paramètres!$B$5,X11))</f>
        <v/>
      </c>
      <c r="AC11" s="35" t="str">
        <f aca="false">IF(AB11="","",Paramètres!$B$4*(1+SUM(AB$5:AB11)))</f>
        <v/>
      </c>
      <c r="AD11" s="29"/>
      <c r="AE11" s="29"/>
      <c r="AF11" s="29"/>
      <c r="AG11" s="36"/>
      <c r="AH11" s="36"/>
      <c r="AI11" s="33" t="str">
        <f aca="false">IF(AA11="","",SUM(AA$5:AA11))</f>
        <v/>
      </c>
      <c r="AJ11" s="33" t="str">
        <f aca="false">IF(AI11="","",MAX(AI11,MAX(AJ$5:AJ10),0))</f>
        <v/>
      </c>
      <c r="AK11" s="33" t="str">
        <f aca="false">IF(AI11="","",AI11-AJ11)</f>
        <v/>
      </c>
      <c r="AL11" s="25" t="str">
        <f aca="false">IF(AA11="","",IF(AA11&lt;0,N(AL10)+1,0))</f>
        <v/>
      </c>
      <c r="AM11" s="37" t="str">
        <f aca="false">IF(B11="","",B11-WEEKDAY(B11,2)+1)</f>
        <v/>
      </c>
    </row>
    <row r="12" customFormat="false" ht="15" hidden="false" customHeight="false" outlineLevel="0" collapsed="false">
      <c r="A12" s="25" t="str">
        <f aca="false">IF(B12="","",ROW()-4)</f>
        <v/>
      </c>
      <c r="B12" s="26"/>
      <c r="C12" s="27" t="str">
        <f aca="false">IF(B12="","",CHOOSE(WEEKDAY(B12,2),"Lundi","Mardi","Mercredi","Jeudi","Vendredi","Samedi","Dimanche"))</f>
        <v/>
      </c>
      <c r="D12" s="28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5" t="str">
        <f aca="false">IF(B12="","",OR(AND(H12="Achat",I12="Haussier"),AND(H12="Vente",I12="Baissier"))*1+OR(AND(H12="Achat",J12="Discount"),AND(H12="Vente",J12="Premium"))*1+AND(K12&lt;&gt;"",K12&lt;&gt;"Aucune")*1+OR(L12="CHoCH",L12="BOS")*1+(M12="Oui")*1+OR(G12="Londres",G12="New York")*1+(O12="Non")*1)</f>
        <v/>
      </c>
      <c r="Q12" s="27" t="str">
        <f aca="false">IF(P12="","",IF(P12=7,"A+",IF(P12&gt;=5,"B","C")))</f>
        <v/>
      </c>
      <c r="R12" s="29"/>
      <c r="S12" s="29"/>
      <c r="T12" s="27" t="str">
        <f aca="false">IF(OR(R12="",S12=""),"",R12+(R12-S12)*Paramètres!$B$6)</f>
        <v/>
      </c>
      <c r="U12" s="29"/>
      <c r="V12" s="27" t="str">
        <f aca="false">IF(OR(R12="",S12=""),"",ABS(R12-S12))</f>
        <v/>
      </c>
      <c r="W12" s="30" t="str">
        <f aca="false">IF(OR(U12="",V12="",N(V12)=0),"",ABS(U12-R12)/V12)</f>
        <v/>
      </c>
      <c r="X12" s="31"/>
      <c r="Y12" s="29"/>
      <c r="Z12" s="32"/>
      <c r="AA12" s="33" t="str">
        <f aca="false">IF(Y12="","",IF(Y12="Stop",-1,IF(Y12="BE",0,IF(Y12="TP1 + BE",Paramètres!$B$7*Paramètres!$B$6,IF(Y12="TP1 (100 %)",Paramètres!$B$6,IF(Y12="TP2",Paramètres!$B$7*Paramètres!$B$6+(1-Paramètres!$B$7)*N(W12),IF(Y12="Sortie manuelle",N(Z12),"")))))))</f>
        <v/>
      </c>
      <c r="AB12" s="34" t="str">
        <f aca="false">IF(AA12="","",AA12*IF(X12="",Paramètres!$B$5,X12))</f>
        <v/>
      </c>
      <c r="AC12" s="35" t="str">
        <f aca="false">IF(AB12="","",Paramètres!$B$4*(1+SUM(AB$5:AB12)))</f>
        <v/>
      </c>
      <c r="AD12" s="29"/>
      <c r="AE12" s="29"/>
      <c r="AF12" s="29"/>
      <c r="AG12" s="36"/>
      <c r="AH12" s="36"/>
      <c r="AI12" s="33" t="str">
        <f aca="false">IF(AA12="","",SUM(AA$5:AA12))</f>
        <v/>
      </c>
      <c r="AJ12" s="33" t="str">
        <f aca="false">IF(AI12="","",MAX(AI12,MAX(AJ$5:AJ11),0))</f>
        <v/>
      </c>
      <c r="AK12" s="33" t="str">
        <f aca="false">IF(AI12="","",AI12-AJ12)</f>
        <v/>
      </c>
      <c r="AL12" s="25" t="str">
        <f aca="false">IF(AA12="","",IF(AA12&lt;0,N(AL11)+1,0))</f>
        <v/>
      </c>
      <c r="AM12" s="37" t="str">
        <f aca="false">IF(B12="","",B12-WEEKDAY(B12,2)+1)</f>
        <v/>
      </c>
    </row>
    <row r="13" customFormat="false" ht="15" hidden="false" customHeight="false" outlineLevel="0" collapsed="false">
      <c r="A13" s="25" t="str">
        <f aca="false">IF(B13="","",ROW()-4)</f>
        <v/>
      </c>
      <c r="B13" s="26"/>
      <c r="C13" s="27" t="str">
        <f aca="false">IF(B13="","",CHOOSE(WEEKDAY(B13,2),"Lundi","Mardi","Mercredi","Jeudi","Vendredi","Samedi","Dimanche"))</f>
        <v/>
      </c>
      <c r="D13" s="28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5" t="str">
        <f aca="false">IF(B13="","",OR(AND(H13="Achat",I13="Haussier"),AND(H13="Vente",I13="Baissier"))*1+OR(AND(H13="Achat",J13="Discount"),AND(H13="Vente",J13="Premium"))*1+AND(K13&lt;&gt;"",K13&lt;&gt;"Aucune")*1+OR(L13="CHoCH",L13="BOS")*1+(M13="Oui")*1+OR(G13="Londres",G13="New York")*1+(O13="Non")*1)</f>
        <v/>
      </c>
      <c r="Q13" s="27" t="str">
        <f aca="false">IF(P13="","",IF(P13=7,"A+",IF(P13&gt;=5,"B","C")))</f>
        <v/>
      </c>
      <c r="R13" s="29"/>
      <c r="S13" s="29"/>
      <c r="T13" s="27" t="str">
        <f aca="false">IF(OR(R13="",S13=""),"",R13+(R13-S13)*Paramètres!$B$6)</f>
        <v/>
      </c>
      <c r="U13" s="29"/>
      <c r="V13" s="27" t="str">
        <f aca="false">IF(OR(R13="",S13=""),"",ABS(R13-S13))</f>
        <v/>
      </c>
      <c r="W13" s="30" t="str">
        <f aca="false">IF(OR(U13="",V13="",N(V13)=0),"",ABS(U13-R13)/V13)</f>
        <v/>
      </c>
      <c r="X13" s="31"/>
      <c r="Y13" s="29"/>
      <c r="Z13" s="32"/>
      <c r="AA13" s="33" t="str">
        <f aca="false">IF(Y13="","",IF(Y13="Stop",-1,IF(Y13="BE",0,IF(Y13="TP1 + BE",Paramètres!$B$7*Paramètres!$B$6,IF(Y13="TP1 (100 %)",Paramètres!$B$6,IF(Y13="TP2",Paramètres!$B$7*Paramètres!$B$6+(1-Paramètres!$B$7)*N(W13),IF(Y13="Sortie manuelle",N(Z13),"")))))))</f>
        <v/>
      </c>
      <c r="AB13" s="34" t="str">
        <f aca="false">IF(AA13="","",AA13*IF(X13="",Paramètres!$B$5,X13))</f>
        <v/>
      </c>
      <c r="AC13" s="35" t="str">
        <f aca="false">IF(AB13="","",Paramètres!$B$4*(1+SUM(AB$5:AB13)))</f>
        <v/>
      </c>
      <c r="AD13" s="29"/>
      <c r="AE13" s="29"/>
      <c r="AF13" s="29"/>
      <c r="AG13" s="36"/>
      <c r="AH13" s="36"/>
      <c r="AI13" s="33" t="str">
        <f aca="false">IF(AA13="","",SUM(AA$5:AA13))</f>
        <v/>
      </c>
      <c r="AJ13" s="33" t="str">
        <f aca="false">IF(AI13="","",MAX(AI13,MAX(AJ$5:AJ12),0))</f>
        <v/>
      </c>
      <c r="AK13" s="33" t="str">
        <f aca="false">IF(AI13="","",AI13-AJ13)</f>
        <v/>
      </c>
      <c r="AL13" s="25" t="str">
        <f aca="false">IF(AA13="","",IF(AA13&lt;0,N(AL12)+1,0))</f>
        <v/>
      </c>
      <c r="AM13" s="37" t="str">
        <f aca="false">IF(B13="","",B13-WEEKDAY(B13,2)+1)</f>
        <v/>
      </c>
    </row>
    <row r="14" customFormat="false" ht="15" hidden="false" customHeight="false" outlineLevel="0" collapsed="false">
      <c r="A14" s="25" t="str">
        <f aca="false">IF(B14="","",ROW()-4)</f>
        <v/>
      </c>
      <c r="B14" s="26"/>
      <c r="C14" s="27" t="str">
        <f aca="false">IF(B14="","",CHOOSE(WEEKDAY(B14,2),"Lundi","Mardi","Mercredi","Jeudi","Vendredi","Samedi","Dimanche"))</f>
        <v/>
      </c>
      <c r="D14" s="28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5" t="str">
        <f aca="false">IF(B14="","",OR(AND(H14="Achat",I14="Haussier"),AND(H14="Vente",I14="Baissier"))*1+OR(AND(H14="Achat",J14="Discount"),AND(H14="Vente",J14="Premium"))*1+AND(K14&lt;&gt;"",K14&lt;&gt;"Aucune")*1+OR(L14="CHoCH",L14="BOS")*1+(M14="Oui")*1+OR(G14="Londres",G14="New York")*1+(O14="Non")*1)</f>
        <v/>
      </c>
      <c r="Q14" s="27" t="str">
        <f aca="false">IF(P14="","",IF(P14=7,"A+",IF(P14&gt;=5,"B","C")))</f>
        <v/>
      </c>
      <c r="R14" s="29"/>
      <c r="S14" s="29"/>
      <c r="T14" s="27" t="str">
        <f aca="false">IF(OR(R14="",S14=""),"",R14+(R14-S14)*Paramètres!$B$6)</f>
        <v/>
      </c>
      <c r="U14" s="29"/>
      <c r="V14" s="27" t="str">
        <f aca="false">IF(OR(R14="",S14=""),"",ABS(R14-S14))</f>
        <v/>
      </c>
      <c r="W14" s="30" t="str">
        <f aca="false">IF(OR(U14="",V14="",N(V14)=0),"",ABS(U14-R14)/V14)</f>
        <v/>
      </c>
      <c r="X14" s="31"/>
      <c r="Y14" s="29"/>
      <c r="Z14" s="32"/>
      <c r="AA14" s="33" t="str">
        <f aca="false">IF(Y14="","",IF(Y14="Stop",-1,IF(Y14="BE",0,IF(Y14="TP1 + BE",Paramètres!$B$7*Paramètres!$B$6,IF(Y14="TP1 (100 %)",Paramètres!$B$6,IF(Y14="TP2",Paramètres!$B$7*Paramètres!$B$6+(1-Paramètres!$B$7)*N(W14),IF(Y14="Sortie manuelle",N(Z14),"")))))))</f>
        <v/>
      </c>
      <c r="AB14" s="34" t="str">
        <f aca="false">IF(AA14="","",AA14*IF(X14="",Paramètres!$B$5,X14))</f>
        <v/>
      </c>
      <c r="AC14" s="35" t="str">
        <f aca="false">IF(AB14="","",Paramètres!$B$4*(1+SUM(AB$5:AB14)))</f>
        <v/>
      </c>
      <c r="AD14" s="29"/>
      <c r="AE14" s="29"/>
      <c r="AF14" s="29"/>
      <c r="AG14" s="36"/>
      <c r="AH14" s="36"/>
      <c r="AI14" s="33" t="str">
        <f aca="false">IF(AA14="","",SUM(AA$5:AA14))</f>
        <v/>
      </c>
      <c r="AJ14" s="33" t="str">
        <f aca="false">IF(AI14="","",MAX(AI14,MAX(AJ$5:AJ13),0))</f>
        <v/>
      </c>
      <c r="AK14" s="33" t="str">
        <f aca="false">IF(AI14="","",AI14-AJ14)</f>
        <v/>
      </c>
      <c r="AL14" s="25" t="str">
        <f aca="false">IF(AA14="","",IF(AA14&lt;0,N(AL13)+1,0))</f>
        <v/>
      </c>
      <c r="AM14" s="37" t="str">
        <f aca="false">IF(B14="","",B14-WEEKDAY(B14,2)+1)</f>
        <v/>
      </c>
    </row>
    <row r="15" customFormat="false" ht="15" hidden="false" customHeight="false" outlineLevel="0" collapsed="false">
      <c r="A15" s="25" t="str">
        <f aca="false">IF(B15="","",ROW()-4)</f>
        <v/>
      </c>
      <c r="B15" s="26"/>
      <c r="C15" s="27" t="str">
        <f aca="false">IF(B15="","",CHOOSE(WEEKDAY(B15,2),"Lundi","Mardi","Mercredi","Jeudi","Vendredi","Samedi","Dimanche"))</f>
        <v/>
      </c>
      <c r="D15" s="28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5" t="str">
        <f aca="false">IF(B15="","",OR(AND(H15="Achat",I15="Haussier"),AND(H15="Vente",I15="Baissier"))*1+OR(AND(H15="Achat",J15="Discount"),AND(H15="Vente",J15="Premium"))*1+AND(K15&lt;&gt;"",K15&lt;&gt;"Aucune")*1+OR(L15="CHoCH",L15="BOS")*1+(M15="Oui")*1+OR(G15="Londres",G15="New York")*1+(O15="Non")*1)</f>
        <v/>
      </c>
      <c r="Q15" s="27" t="str">
        <f aca="false">IF(P15="","",IF(P15=7,"A+",IF(P15&gt;=5,"B","C")))</f>
        <v/>
      </c>
      <c r="R15" s="29"/>
      <c r="S15" s="29"/>
      <c r="T15" s="27" t="str">
        <f aca="false">IF(OR(R15="",S15=""),"",R15+(R15-S15)*Paramètres!$B$6)</f>
        <v/>
      </c>
      <c r="U15" s="29"/>
      <c r="V15" s="27" t="str">
        <f aca="false">IF(OR(R15="",S15=""),"",ABS(R15-S15))</f>
        <v/>
      </c>
      <c r="W15" s="30" t="str">
        <f aca="false">IF(OR(U15="",V15="",N(V15)=0),"",ABS(U15-R15)/V15)</f>
        <v/>
      </c>
      <c r="X15" s="31"/>
      <c r="Y15" s="29"/>
      <c r="Z15" s="32"/>
      <c r="AA15" s="33" t="str">
        <f aca="false">IF(Y15="","",IF(Y15="Stop",-1,IF(Y15="BE",0,IF(Y15="TP1 + BE",Paramètres!$B$7*Paramètres!$B$6,IF(Y15="TP1 (100 %)",Paramètres!$B$6,IF(Y15="TP2",Paramètres!$B$7*Paramètres!$B$6+(1-Paramètres!$B$7)*N(W15),IF(Y15="Sortie manuelle",N(Z15),"")))))))</f>
        <v/>
      </c>
      <c r="AB15" s="34" t="str">
        <f aca="false">IF(AA15="","",AA15*IF(X15="",Paramètres!$B$5,X15))</f>
        <v/>
      </c>
      <c r="AC15" s="35" t="str">
        <f aca="false">IF(AB15="","",Paramètres!$B$4*(1+SUM(AB$5:AB15)))</f>
        <v/>
      </c>
      <c r="AD15" s="29"/>
      <c r="AE15" s="29"/>
      <c r="AF15" s="29"/>
      <c r="AG15" s="36"/>
      <c r="AH15" s="36"/>
      <c r="AI15" s="33" t="str">
        <f aca="false">IF(AA15="","",SUM(AA$5:AA15))</f>
        <v/>
      </c>
      <c r="AJ15" s="33" t="str">
        <f aca="false">IF(AI15="","",MAX(AI15,MAX(AJ$5:AJ14),0))</f>
        <v/>
      </c>
      <c r="AK15" s="33" t="str">
        <f aca="false">IF(AI15="","",AI15-AJ15)</f>
        <v/>
      </c>
      <c r="AL15" s="25" t="str">
        <f aca="false">IF(AA15="","",IF(AA15&lt;0,N(AL14)+1,0))</f>
        <v/>
      </c>
      <c r="AM15" s="37" t="str">
        <f aca="false">IF(B15="","",B15-WEEKDAY(B15,2)+1)</f>
        <v/>
      </c>
    </row>
    <row r="16" customFormat="false" ht="15" hidden="false" customHeight="false" outlineLevel="0" collapsed="false">
      <c r="A16" s="25" t="str">
        <f aca="false">IF(B16="","",ROW()-4)</f>
        <v/>
      </c>
      <c r="B16" s="26"/>
      <c r="C16" s="27" t="str">
        <f aca="false">IF(B16="","",CHOOSE(WEEKDAY(B16,2),"Lundi","Mardi","Mercredi","Jeudi","Vendredi","Samedi","Dimanche"))</f>
        <v/>
      </c>
      <c r="D16" s="28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5" t="str">
        <f aca="false">IF(B16="","",OR(AND(H16="Achat",I16="Haussier"),AND(H16="Vente",I16="Baissier"))*1+OR(AND(H16="Achat",J16="Discount"),AND(H16="Vente",J16="Premium"))*1+AND(K16&lt;&gt;"",K16&lt;&gt;"Aucune")*1+OR(L16="CHoCH",L16="BOS")*1+(M16="Oui")*1+OR(G16="Londres",G16="New York")*1+(O16="Non")*1)</f>
        <v/>
      </c>
      <c r="Q16" s="27" t="str">
        <f aca="false">IF(P16="","",IF(P16=7,"A+",IF(P16&gt;=5,"B","C")))</f>
        <v/>
      </c>
      <c r="R16" s="29"/>
      <c r="S16" s="29"/>
      <c r="T16" s="27" t="str">
        <f aca="false">IF(OR(R16="",S16=""),"",R16+(R16-S16)*Paramètres!$B$6)</f>
        <v/>
      </c>
      <c r="U16" s="29"/>
      <c r="V16" s="27" t="str">
        <f aca="false">IF(OR(R16="",S16=""),"",ABS(R16-S16))</f>
        <v/>
      </c>
      <c r="W16" s="30" t="str">
        <f aca="false">IF(OR(U16="",V16="",N(V16)=0),"",ABS(U16-R16)/V16)</f>
        <v/>
      </c>
      <c r="X16" s="31"/>
      <c r="Y16" s="29"/>
      <c r="Z16" s="32"/>
      <c r="AA16" s="33" t="str">
        <f aca="false">IF(Y16="","",IF(Y16="Stop",-1,IF(Y16="BE",0,IF(Y16="TP1 + BE",Paramètres!$B$7*Paramètres!$B$6,IF(Y16="TP1 (100 %)",Paramètres!$B$6,IF(Y16="TP2",Paramètres!$B$7*Paramètres!$B$6+(1-Paramètres!$B$7)*N(W16),IF(Y16="Sortie manuelle",N(Z16),"")))))))</f>
        <v/>
      </c>
      <c r="AB16" s="34" t="str">
        <f aca="false">IF(AA16="","",AA16*IF(X16="",Paramètres!$B$5,X16))</f>
        <v/>
      </c>
      <c r="AC16" s="35" t="str">
        <f aca="false">IF(AB16="","",Paramètres!$B$4*(1+SUM(AB$5:AB16)))</f>
        <v/>
      </c>
      <c r="AD16" s="29"/>
      <c r="AE16" s="29"/>
      <c r="AF16" s="29"/>
      <c r="AG16" s="36"/>
      <c r="AH16" s="36"/>
      <c r="AI16" s="33" t="str">
        <f aca="false">IF(AA16="","",SUM(AA$5:AA16))</f>
        <v/>
      </c>
      <c r="AJ16" s="33" t="str">
        <f aca="false">IF(AI16="","",MAX(AI16,MAX(AJ$5:AJ15),0))</f>
        <v/>
      </c>
      <c r="AK16" s="33" t="str">
        <f aca="false">IF(AI16="","",AI16-AJ16)</f>
        <v/>
      </c>
      <c r="AL16" s="25" t="str">
        <f aca="false">IF(AA16="","",IF(AA16&lt;0,N(AL15)+1,0))</f>
        <v/>
      </c>
      <c r="AM16" s="37" t="str">
        <f aca="false">IF(B16="","",B16-WEEKDAY(B16,2)+1)</f>
        <v/>
      </c>
    </row>
    <row r="17" customFormat="false" ht="15" hidden="false" customHeight="false" outlineLevel="0" collapsed="false">
      <c r="A17" s="25" t="str">
        <f aca="false">IF(B17="","",ROW()-4)</f>
        <v/>
      </c>
      <c r="B17" s="26"/>
      <c r="C17" s="27" t="str">
        <f aca="false">IF(B17="","",CHOOSE(WEEKDAY(B17,2),"Lundi","Mardi","Mercredi","Jeudi","Vendredi","Samedi","Dimanche"))</f>
        <v/>
      </c>
      <c r="D17" s="28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5" t="str">
        <f aca="false">IF(B17="","",OR(AND(H17="Achat",I17="Haussier"),AND(H17="Vente",I17="Baissier"))*1+OR(AND(H17="Achat",J17="Discount"),AND(H17="Vente",J17="Premium"))*1+AND(K17&lt;&gt;"",K17&lt;&gt;"Aucune")*1+OR(L17="CHoCH",L17="BOS")*1+(M17="Oui")*1+OR(G17="Londres",G17="New York")*1+(O17="Non")*1)</f>
        <v/>
      </c>
      <c r="Q17" s="27" t="str">
        <f aca="false">IF(P17="","",IF(P17=7,"A+",IF(P17&gt;=5,"B","C")))</f>
        <v/>
      </c>
      <c r="R17" s="29"/>
      <c r="S17" s="29"/>
      <c r="T17" s="27" t="str">
        <f aca="false">IF(OR(R17="",S17=""),"",R17+(R17-S17)*Paramètres!$B$6)</f>
        <v/>
      </c>
      <c r="U17" s="29"/>
      <c r="V17" s="27" t="str">
        <f aca="false">IF(OR(R17="",S17=""),"",ABS(R17-S17))</f>
        <v/>
      </c>
      <c r="W17" s="30" t="str">
        <f aca="false">IF(OR(U17="",V17="",N(V17)=0),"",ABS(U17-R17)/V17)</f>
        <v/>
      </c>
      <c r="X17" s="31"/>
      <c r="Y17" s="29"/>
      <c r="Z17" s="32"/>
      <c r="AA17" s="33" t="str">
        <f aca="false">IF(Y17="","",IF(Y17="Stop",-1,IF(Y17="BE",0,IF(Y17="TP1 + BE",Paramètres!$B$7*Paramètres!$B$6,IF(Y17="TP1 (100 %)",Paramètres!$B$6,IF(Y17="TP2",Paramètres!$B$7*Paramètres!$B$6+(1-Paramètres!$B$7)*N(W17),IF(Y17="Sortie manuelle",N(Z17),"")))))))</f>
        <v/>
      </c>
      <c r="AB17" s="34" t="str">
        <f aca="false">IF(AA17="","",AA17*IF(X17="",Paramètres!$B$5,X17))</f>
        <v/>
      </c>
      <c r="AC17" s="35" t="str">
        <f aca="false">IF(AB17="","",Paramètres!$B$4*(1+SUM(AB$5:AB17)))</f>
        <v/>
      </c>
      <c r="AD17" s="29"/>
      <c r="AE17" s="29"/>
      <c r="AF17" s="29"/>
      <c r="AG17" s="36"/>
      <c r="AH17" s="36"/>
      <c r="AI17" s="33" t="str">
        <f aca="false">IF(AA17="","",SUM(AA$5:AA17))</f>
        <v/>
      </c>
      <c r="AJ17" s="33" t="str">
        <f aca="false">IF(AI17="","",MAX(AI17,MAX(AJ$5:AJ16),0))</f>
        <v/>
      </c>
      <c r="AK17" s="33" t="str">
        <f aca="false">IF(AI17="","",AI17-AJ17)</f>
        <v/>
      </c>
      <c r="AL17" s="25" t="str">
        <f aca="false">IF(AA17="","",IF(AA17&lt;0,N(AL16)+1,0))</f>
        <v/>
      </c>
      <c r="AM17" s="37" t="str">
        <f aca="false">IF(B17="","",B17-WEEKDAY(B17,2)+1)</f>
        <v/>
      </c>
    </row>
    <row r="18" customFormat="false" ht="15" hidden="false" customHeight="false" outlineLevel="0" collapsed="false">
      <c r="A18" s="25" t="str">
        <f aca="false">IF(B18="","",ROW()-4)</f>
        <v/>
      </c>
      <c r="B18" s="26"/>
      <c r="C18" s="27" t="str">
        <f aca="false">IF(B18="","",CHOOSE(WEEKDAY(B18,2),"Lundi","Mardi","Mercredi","Jeudi","Vendredi","Samedi","Dimanche"))</f>
        <v/>
      </c>
      <c r="D18" s="28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5" t="str">
        <f aca="false">IF(B18="","",OR(AND(H18="Achat",I18="Haussier"),AND(H18="Vente",I18="Baissier"))*1+OR(AND(H18="Achat",J18="Discount"),AND(H18="Vente",J18="Premium"))*1+AND(K18&lt;&gt;"",K18&lt;&gt;"Aucune")*1+OR(L18="CHoCH",L18="BOS")*1+(M18="Oui")*1+OR(G18="Londres",G18="New York")*1+(O18="Non")*1)</f>
        <v/>
      </c>
      <c r="Q18" s="27" t="str">
        <f aca="false">IF(P18="","",IF(P18=7,"A+",IF(P18&gt;=5,"B","C")))</f>
        <v/>
      </c>
      <c r="R18" s="29"/>
      <c r="S18" s="29"/>
      <c r="T18" s="27" t="str">
        <f aca="false">IF(OR(R18="",S18=""),"",R18+(R18-S18)*Paramètres!$B$6)</f>
        <v/>
      </c>
      <c r="U18" s="29"/>
      <c r="V18" s="27" t="str">
        <f aca="false">IF(OR(R18="",S18=""),"",ABS(R18-S18))</f>
        <v/>
      </c>
      <c r="W18" s="30" t="str">
        <f aca="false">IF(OR(U18="",V18="",N(V18)=0),"",ABS(U18-R18)/V18)</f>
        <v/>
      </c>
      <c r="X18" s="31"/>
      <c r="Y18" s="29"/>
      <c r="Z18" s="32"/>
      <c r="AA18" s="33" t="str">
        <f aca="false">IF(Y18="","",IF(Y18="Stop",-1,IF(Y18="BE",0,IF(Y18="TP1 + BE",Paramètres!$B$7*Paramètres!$B$6,IF(Y18="TP1 (100 %)",Paramètres!$B$6,IF(Y18="TP2",Paramètres!$B$7*Paramètres!$B$6+(1-Paramètres!$B$7)*N(W18),IF(Y18="Sortie manuelle",N(Z18),"")))))))</f>
        <v/>
      </c>
      <c r="AB18" s="34" t="str">
        <f aca="false">IF(AA18="","",AA18*IF(X18="",Paramètres!$B$5,X18))</f>
        <v/>
      </c>
      <c r="AC18" s="35" t="str">
        <f aca="false">IF(AB18="","",Paramètres!$B$4*(1+SUM(AB$5:AB18)))</f>
        <v/>
      </c>
      <c r="AD18" s="29"/>
      <c r="AE18" s="29"/>
      <c r="AF18" s="29"/>
      <c r="AG18" s="36"/>
      <c r="AH18" s="36"/>
      <c r="AI18" s="33" t="str">
        <f aca="false">IF(AA18="","",SUM(AA$5:AA18))</f>
        <v/>
      </c>
      <c r="AJ18" s="33" t="str">
        <f aca="false">IF(AI18="","",MAX(AI18,MAX(AJ$5:AJ17),0))</f>
        <v/>
      </c>
      <c r="AK18" s="33" t="str">
        <f aca="false">IF(AI18="","",AI18-AJ18)</f>
        <v/>
      </c>
      <c r="AL18" s="25" t="str">
        <f aca="false">IF(AA18="","",IF(AA18&lt;0,N(AL17)+1,0))</f>
        <v/>
      </c>
      <c r="AM18" s="37" t="str">
        <f aca="false">IF(B18="","",B18-WEEKDAY(B18,2)+1)</f>
        <v/>
      </c>
    </row>
    <row r="19" customFormat="false" ht="15" hidden="false" customHeight="false" outlineLevel="0" collapsed="false">
      <c r="A19" s="25" t="str">
        <f aca="false">IF(B19="","",ROW()-4)</f>
        <v/>
      </c>
      <c r="B19" s="26"/>
      <c r="C19" s="27" t="str">
        <f aca="false">IF(B19="","",CHOOSE(WEEKDAY(B19,2),"Lundi","Mardi","Mercredi","Jeudi","Vendredi","Samedi","Dimanche"))</f>
        <v/>
      </c>
      <c r="D19" s="28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5" t="str">
        <f aca="false">IF(B19="","",OR(AND(H19="Achat",I19="Haussier"),AND(H19="Vente",I19="Baissier"))*1+OR(AND(H19="Achat",J19="Discount"),AND(H19="Vente",J19="Premium"))*1+AND(K19&lt;&gt;"",K19&lt;&gt;"Aucune")*1+OR(L19="CHoCH",L19="BOS")*1+(M19="Oui")*1+OR(G19="Londres",G19="New York")*1+(O19="Non")*1)</f>
        <v/>
      </c>
      <c r="Q19" s="27" t="str">
        <f aca="false">IF(P19="","",IF(P19=7,"A+",IF(P19&gt;=5,"B","C")))</f>
        <v/>
      </c>
      <c r="R19" s="29"/>
      <c r="S19" s="29"/>
      <c r="T19" s="27" t="str">
        <f aca="false">IF(OR(R19="",S19=""),"",R19+(R19-S19)*Paramètres!$B$6)</f>
        <v/>
      </c>
      <c r="U19" s="29"/>
      <c r="V19" s="27" t="str">
        <f aca="false">IF(OR(R19="",S19=""),"",ABS(R19-S19))</f>
        <v/>
      </c>
      <c r="W19" s="30" t="str">
        <f aca="false">IF(OR(U19="",V19="",N(V19)=0),"",ABS(U19-R19)/V19)</f>
        <v/>
      </c>
      <c r="X19" s="31"/>
      <c r="Y19" s="29"/>
      <c r="Z19" s="32"/>
      <c r="AA19" s="33" t="str">
        <f aca="false">IF(Y19="","",IF(Y19="Stop",-1,IF(Y19="BE",0,IF(Y19="TP1 + BE",Paramètres!$B$7*Paramètres!$B$6,IF(Y19="TP1 (100 %)",Paramètres!$B$6,IF(Y19="TP2",Paramètres!$B$7*Paramètres!$B$6+(1-Paramètres!$B$7)*N(W19),IF(Y19="Sortie manuelle",N(Z19),"")))))))</f>
        <v/>
      </c>
      <c r="AB19" s="34" t="str">
        <f aca="false">IF(AA19="","",AA19*IF(X19="",Paramètres!$B$5,X19))</f>
        <v/>
      </c>
      <c r="AC19" s="35" t="str">
        <f aca="false">IF(AB19="","",Paramètres!$B$4*(1+SUM(AB$5:AB19)))</f>
        <v/>
      </c>
      <c r="AD19" s="29"/>
      <c r="AE19" s="29"/>
      <c r="AF19" s="29"/>
      <c r="AG19" s="36"/>
      <c r="AH19" s="36"/>
      <c r="AI19" s="33" t="str">
        <f aca="false">IF(AA19="","",SUM(AA$5:AA19))</f>
        <v/>
      </c>
      <c r="AJ19" s="33" t="str">
        <f aca="false">IF(AI19="","",MAX(AI19,MAX(AJ$5:AJ18),0))</f>
        <v/>
      </c>
      <c r="AK19" s="33" t="str">
        <f aca="false">IF(AI19="","",AI19-AJ19)</f>
        <v/>
      </c>
      <c r="AL19" s="25" t="str">
        <f aca="false">IF(AA19="","",IF(AA19&lt;0,N(AL18)+1,0))</f>
        <v/>
      </c>
      <c r="AM19" s="37" t="str">
        <f aca="false">IF(B19="","",B19-WEEKDAY(B19,2)+1)</f>
        <v/>
      </c>
    </row>
    <row r="20" customFormat="false" ht="15" hidden="false" customHeight="false" outlineLevel="0" collapsed="false">
      <c r="A20" s="25" t="str">
        <f aca="false">IF(B20="","",ROW()-4)</f>
        <v/>
      </c>
      <c r="B20" s="26"/>
      <c r="C20" s="27" t="str">
        <f aca="false">IF(B20="","",CHOOSE(WEEKDAY(B20,2),"Lundi","Mardi","Mercredi","Jeudi","Vendredi","Samedi","Dimanche"))</f>
        <v/>
      </c>
      <c r="D20" s="28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5" t="str">
        <f aca="false">IF(B20="","",OR(AND(H20="Achat",I20="Haussier"),AND(H20="Vente",I20="Baissier"))*1+OR(AND(H20="Achat",J20="Discount"),AND(H20="Vente",J20="Premium"))*1+AND(K20&lt;&gt;"",K20&lt;&gt;"Aucune")*1+OR(L20="CHoCH",L20="BOS")*1+(M20="Oui")*1+OR(G20="Londres",G20="New York")*1+(O20="Non")*1)</f>
        <v/>
      </c>
      <c r="Q20" s="27" t="str">
        <f aca="false">IF(P20="","",IF(P20=7,"A+",IF(P20&gt;=5,"B","C")))</f>
        <v/>
      </c>
      <c r="R20" s="29"/>
      <c r="S20" s="29"/>
      <c r="T20" s="27" t="str">
        <f aca="false">IF(OR(R20="",S20=""),"",R20+(R20-S20)*Paramètres!$B$6)</f>
        <v/>
      </c>
      <c r="U20" s="29"/>
      <c r="V20" s="27" t="str">
        <f aca="false">IF(OR(R20="",S20=""),"",ABS(R20-S20))</f>
        <v/>
      </c>
      <c r="W20" s="30" t="str">
        <f aca="false">IF(OR(U20="",V20="",N(V20)=0),"",ABS(U20-R20)/V20)</f>
        <v/>
      </c>
      <c r="X20" s="31"/>
      <c r="Y20" s="29"/>
      <c r="Z20" s="32"/>
      <c r="AA20" s="33" t="str">
        <f aca="false">IF(Y20="","",IF(Y20="Stop",-1,IF(Y20="BE",0,IF(Y20="TP1 + BE",Paramètres!$B$7*Paramètres!$B$6,IF(Y20="TP1 (100 %)",Paramètres!$B$6,IF(Y20="TP2",Paramètres!$B$7*Paramètres!$B$6+(1-Paramètres!$B$7)*N(W20),IF(Y20="Sortie manuelle",N(Z20),"")))))))</f>
        <v/>
      </c>
      <c r="AB20" s="34" t="str">
        <f aca="false">IF(AA20="","",AA20*IF(X20="",Paramètres!$B$5,X20))</f>
        <v/>
      </c>
      <c r="AC20" s="35" t="str">
        <f aca="false">IF(AB20="","",Paramètres!$B$4*(1+SUM(AB$5:AB20)))</f>
        <v/>
      </c>
      <c r="AD20" s="29"/>
      <c r="AE20" s="29"/>
      <c r="AF20" s="29"/>
      <c r="AG20" s="36"/>
      <c r="AH20" s="36"/>
      <c r="AI20" s="33" t="str">
        <f aca="false">IF(AA20="","",SUM(AA$5:AA20))</f>
        <v/>
      </c>
      <c r="AJ20" s="33" t="str">
        <f aca="false">IF(AI20="","",MAX(AI20,MAX(AJ$5:AJ19),0))</f>
        <v/>
      </c>
      <c r="AK20" s="33" t="str">
        <f aca="false">IF(AI20="","",AI20-AJ20)</f>
        <v/>
      </c>
      <c r="AL20" s="25" t="str">
        <f aca="false">IF(AA20="","",IF(AA20&lt;0,N(AL19)+1,0))</f>
        <v/>
      </c>
      <c r="AM20" s="37" t="str">
        <f aca="false">IF(B20="","",B20-WEEKDAY(B20,2)+1)</f>
        <v/>
      </c>
    </row>
    <row r="21" customFormat="false" ht="15" hidden="false" customHeight="false" outlineLevel="0" collapsed="false">
      <c r="A21" s="25" t="str">
        <f aca="false">IF(B21="","",ROW()-4)</f>
        <v/>
      </c>
      <c r="B21" s="26"/>
      <c r="C21" s="27" t="str">
        <f aca="false">IF(B21="","",CHOOSE(WEEKDAY(B21,2),"Lundi","Mardi","Mercredi","Jeudi","Vendredi","Samedi","Dimanche"))</f>
        <v/>
      </c>
      <c r="D21" s="28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5" t="str">
        <f aca="false">IF(B21="","",OR(AND(H21="Achat",I21="Haussier"),AND(H21="Vente",I21="Baissier"))*1+OR(AND(H21="Achat",J21="Discount"),AND(H21="Vente",J21="Premium"))*1+AND(K21&lt;&gt;"",K21&lt;&gt;"Aucune")*1+OR(L21="CHoCH",L21="BOS")*1+(M21="Oui")*1+OR(G21="Londres",G21="New York")*1+(O21="Non")*1)</f>
        <v/>
      </c>
      <c r="Q21" s="27" t="str">
        <f aca="false">IF(P21="","",IF(P21=7,"A+",IF(P21&gt;=5,"B","C")))</f>
        <v/>
      </c>
      <c r="R21" s="29"/>
      <c r="S21" s="29"/>
      <c r="T21" s="27" t="str">
        <f aca="false">IF(OR(R21="",S21=""),"",R21+(R21-S21)*Paramètres!$B$6)</f>
        <v/>
      </c>
      <c r="U21" s="29"/>
      <c r="V21" s="27" t="str">
        <f aca="false">IF(OR(R21="",S21=""),"",ABS(R21-S21))</f>
        <v/>
      </c>
      <c r="W21" s="30" t="str">
        <f aca="false">IF(OR(U21="",V21="",N(V21)=0),"",ABS(U21-R21)/V21)</f>
        <v/>
      </c>
      <c r="X21" s="31"/>
      <c r="Y21" s="29"/>
      <c r="Z21" s="32"/>
      <c r="AA21" s="33" t="str">
        <f aca="false">IF(Y21="","",IF(Y21="Stop",-1,IF(Y21="BE",0,IF(Y21="TP1 + BE",Paramètres!$B$7*Paramètres!$B$6,IF(Y21="TP1 (100 %)",Paramètres!$B$6,IF(Y21="TP2",Paramètres!$B$7*Paramètres!$B$6+(1-Paramètres!$B$7)*N(W21),IF(Y21="Sortie manuelle",N(Z21),"")))))))</f>
        <v/>
      </c>
      <c r="AB21" s="34" t="str">
        <f aca="false">IF(AA21="","",AA21*IF(X21="",Paramètres!$B$5,X21))</f>
        <v/>
      </c>
      <c r="AC21" s="35" t="str">
        <f aca="false">IF(AB21="","",Paramètres!$B$4*(1+SUM(AB$5:AB21)))</f>
        <v/>
      </c>
      <c r="AD21" s="29"/>
      <c r="AE21" s="29"/>
      <c r="AF21" s="29"/>
      <c r="AG21" s="36"/>
      <c r="AH21" s="36"/>
      <c r="AI21" s="33" t="str">
        <f aca="false">IF(AA21="","",SUM(AA$5:AA21))</f>
        <v/>
      </c>
      <c r="AJ21" s="33" t="str">
        <f aca="false">IF(AI21="","",MAX(AI21,MAX(AJ$5:AJ20),0))</f>
        <v/>
      </c>
      <c r="AK21" s="33" t="str">
        <f aca="false">IF(AI21="","",AI21-AJ21)</f>
        <v/>
      </c>
      <c r="AL21" s="25" t="str">
        <f aca="false">IF(AA21="","",IF(AA21&lt;0,N(AL20)+1,0))</f>
        <v/>
      </c>
      <c r="AM21" s="37" t="str">
        <f aca="false">IF(B21="","",B21-WEEKDAY(B21,2)+1)</f>
        <v/>
      </c>
    </row>
    <row r="22" customFormat="false" ht="15" hidden="false" customHeight="false" outlineLevel="0" collapsed="false">
      <c r="A22" s="25" t="str">
        <f aca="false">IF(B22="","",ROW()-4)</f>
        <v/>
      </c>
      <c r="B22" s="26"/>
      <c r="C22" s="27" t="str">
        <f aca="false">IF(B22="","",CHOOSE(WEEKDAY(B22,2),"Lundi","Mardi","Mercredi","Jeudi","Vendredi","Samedi","Dimanche"))</f>
        <v/>
      </c>
      <c r="D22" s="28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5" t="str">
        <f aca="false">IF(B22="","",OR(AND(H22="Achat",I22="Haussier"),AND(H22="Vente",I22="Baissier"))*1+OR(AND(H22="Achat",J22="Discount"),AND(H22="Vente",J22="Premium"))*1+AND(K22&lt;&gt;"",K22&lt;&gt;"Aucune")*1+OR(L22="CHoCH",L22="BOS")*1+(M22="Oui")*1+OR(G22="Londres",G22="New York")*1+(O22="Non")*1)</f>
        <v/>
      </c>
      <c r="Q22" s="27" t="str">
        <f aca="false">IF(P22="","",IF(P22=7,"A+",IF(P22&gt;=5,"B","C")))</f>
        <v/>
      </c>
      <c r="R22" s="29"/>
      <c r="S22" s="29"/>
      <c r="T22" s="27" t="str">
        <f aca="false">IF(OR(R22="",S22=""),"",R22+(R22-S22)*Paramètres!$B$6)</f>
        <v/>
      </c>
      <c r="U22" s="29"/>
      <c r="V22" s="27" t="str">
        <f aca="false">IF(OR(R22="",S22=""),"",ABS(R22-S22))</f>
        <v/>
      </c>
      <c r="W22" s="30" t="str">
        <f aca="false">IF(OR(U22="",V22="",N(V22)=0),"",ABS(U22-R22)/V22)</f>
        <v/>
      </c>
      <c r="X22" s="31"/>
      <c r="Y22" s="29"/>
      <c r="Z22" s="32"/>
      <c r="AA22" s="33" t="str">
        <f aca="false">IF(Y22="","",IF(Y22="Stop",-1,IF(Y22="BE",0,IF(Y22="TP1 + BE",Paramètres!$B$7*Paramètres!$B$6,IF(Y22="TP1 (100 %)",Paramètres!$B$6,IF(Y22="TP2",Paramètres!$B$7*Paramètres!$B$6+(1-Paramètres!$B$7)*N(W22),IF(Y22="Sortie manuelle",N(Z22),"")))))))</f>
        <v/>
      </c>
      <c r="AB22" s="34" t="str">
        <f aca="false">IF(AA22="","",AA22*IF(X22="",Paramètres!$B$5,X22))</f>
        <v/>
      </c>
      <c r="AC22" s="35" t="str">
        <f aca="false">IF(AB22="","",Paramètres!$B$4*(1+SUM(AB$5:AB22)))</f>
        <v/>
      </c>
      <c r="AD22" s="29"/>
      <c r="AE22" s="29"/>
      <c r="AF22" s="29"/>
      <c r="AG22" s="36"/>
      <c r="AH22" s="36"/>
      <c r="AI22" s="33" t="str">
        <f aca="false">IF(AA22="","",SUM(AA$5:AA22))</f>
        <v/>
      </c>
      <c r="AJ22" s="33" t="str">
        <f aca="false">IF(AI22="","",MAX(AI22,MAX(AJ$5:AJ21),0))</f>
        <v/>
      </c>
      <c r="AK22" s="33" t="str">
        <f aca="false">IF(AI22="","",AI22-AJ22)</f>
        <v/>
      </c>
      <c r="AL22" s="25" t="str">
        <f aca="false">IF(AA22="","",IF(AA22&lt;0,N(AL21)+1,0))</f>
        <v/>
      </c>
      <c r="AM22" s="37" t="str">
        <f aca="false">IF(B22="","",B22-WEEKDAY(B22,2)+1)</f>
        <v/>
      </c>
    </row>
    <row r="23" customFormat="false" ht="15" hidden="false" customHeight="false" outlineLevel="0" collapsed="false">
      <c r="A23" s="25" t="str">
        <f aca="false">IF(B23="","",ROW()-4)</f>
        <v/>
      </c>
      <c r="B23" s="26"/>
      <c r="C23" s="27" t="str">
        <f aca="false">IF(B23="","",CHOOSE(WEEKDAY(B23,2),"Lundi","Mardi","Mercredi","Jeudi","Vendredi","Samedi","Dimanche"))</f>
        <v/>
      </c>
      <c r="D23" s="28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5" t="str">
        <f aca="false">IF(B23="","",OR(AND(H23="Achat",I23="Haussier"),AND(H23="Vente",I23="Baissier"))*1+OR(AND(H23="Achat",J23="Discount"),AND(H23="Vente",J23="Premium"))*1+AND(K23&lt;&gt;"",K23&lt;&gt;"Aucune")*1+OR(L23="CHoCH",L23="BOS")*1+(M23="Oui")*1+OR(G23="Londres",G23="New York")*1+(O23="Non")*1)</f>
        <v/>
      </c>
      <c r="Q23" s="27" t="str">
        <f aca="false">IF(P23="","",IF(P23=7,"A+",IF(P23&gt;=5,"B","C")))</f>
        <v/>
      </c>
      <c r="R23" s="29"/>
      <c r="S23" s="29"/>
      <c r="T23" s="27" t="str">
        <f aca="false">IF(OR(R23="",S23=""),"",R23+(R23-S23)*Paramètres!$B$6)</f>
        <v/>
      </c>
      <c r="U23" s="29"/>
      <c r="V23" s="27" t="str">
        <f aca="false">IF(OR(R23="",S23=""),"",ABS(R23-S23))</f>
        <v/>
      </c>
      <c r="W23" s="30" t="str">
        <f aca="false">IF(OR(U23="",V23="",N(V23)=0),"",ABS(U23-R23)/V23)</f>
        <v/>
      </c>
      <c r="X23" s="31"/>
      <c r="Y23" s="29"/>
      <c r="Z23" s="32"/>
      <c r="AA23" s="33" t="str">
        <f aca="false">IF(Y23="","",IF(Y23="Stop",-1,IF(Y23="BE",0,IF(Y23="TP1 + BE",Paramètres!$B$7*Paramètres!$B$6,IF(Y23="TP1 (100 %)",Paramètres!$B$6,IF(Y23="TP2",Paramètres!$B$7*Paramètres!$B$6+(1-Paramètres!$B$7)*N(W23),IF(Y23="Sortie manuelle",N(Z23),"")))))))</f>
        <v/>
      </c>
      <c r="AB23" s="34" t="str">
        <f aca="false">IF(AA23="","",AA23*IF(X23="",Paramètres!$B$5,X23))</f>
        <v/>
      </c>
      <c r="AC23" s="35" t="str">
        <f aca="false">IF(AB23="","",Paramètres!$B$4*(1+SUM(AB$5:AB23)))</f>
        <v/>
      </c>
      <c r="AD23" s="29"/>
      <c r="AE23" s="29"/>
      <c r="AF23" s="29"/>
      <c r="AG23" s="36"/>
      <c r="AH23" s="36"/>
      <c r="AI23" s="33" t="str">
        <f aca="false">IF(AA23="","",SUM(AA$5:AA23))</f>
        <v/>
      </c>
      <c r="AJ23" s="33" t="str">
        <f aca="false">IF(AI23="","",MAX(AI23,MAX(AJ$5:AJ22),0))</f>
        <v/>
      </c>
      <c r="AK23" s="33" t="str">
        <f aca="false">IF(AI23="","",AI23-AJ23)</f>
        <v/>
      </c>
      <c r="AL23" s="25" t="str">
        <f aca="false">IF(AA23="","",IF(AA23&lt;0,N(AL22)+1,0))</f>
        <v/>
      </c>
      <c r="AM23" s="37" t="str">
        <f aca="false">IF(B23="","",B23-WEEKDAY(B23,2)+1)</f>
        <v/>
      </c>
    </row>
    <row r="24" customFormat="false" ht="15" hidden="false" customHeight="false" outlineLevel="0" collapsed="false">
      <c r="A24" s="25" t="str">
        <f aca="false">IF(B24="","",ROW()-4)</f>
        <v/>
      </c>
      <c r="B24" s="26"/>
      <c r="C24" s="27" t="str">
        <f aca="false">IF(B24="","",CHOOSE(WEEKDAY(B24,2),"Lundi","Mardi","Mercredi","Jeudi","Vendredi","Samedi","Dimanche"))</f>
        <v/>
      </c>
      <c r="D24" s="28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5" t="str">
        <f aca="false">IF(B24="","",OR(AND(H24="Achat",I24="Haussier"),AND(H24="Vente",I24="Baissier"))*1+OR(AND(H24="Achat",J24="Discount"),AND(H24="Vente",J24="Premium"))*1+AND(K24&lt;&gt;"",K24&lt;&gt;"Aucune")*1+OR(L24="CHoCH",L24="BOS")*1+(M24="Oui")*1+OR(G24="Londres",G24="New York")*1+(O24="Non")*1)</f>
        <v/>
      </c>
      <c r="Q24" s="27" t="str">
        <f aca="false">IF(P24="","",IF(P24=7,"A+",IF(P24&gt;=5,"B","C")))</f>
        <v/>
      </c>
      <c r="R24" s="29"/>
      <c r="S24" s="29"/>
      <c r="T24" s="27" t="str">
        <f aca="false">IF(OR(R24="",S24=""),"",R24+(R24-S24)*Paramètres!$B$6)</f>
        <v/>
      </c>
      <c r="U24" s="29"/>
      <c r="V24" s="27" t="str">
        <f aca="false">IF(OR(R24="",S24=""),"",ABS(R24-S24))</f>
        <v/>
      </c>
      <c r="W24" s="30" t="str">
        <f aca="false">IF(OR(U24="",V24="",N(V24)=0),"",ABS(U24-R24)/V24)</f>
        <v/>
      </c>
      <c r="X24" s="31"/>
      <c r="Y24" s="29"/>
      <c r="Z24" s="32"/>
      <c r="AA24" s="33" t="str">
        <f aca="false">IF(Y24="","",IF(Y24="Stop",-1,IF(Y24="BE",0,IF(Y24="TP1 + BE",Paramètres!$B$7*Paramètres!$B$6,IF(Y24="TP1 (100 %)",Paramètres!$B$6,IF(Y24="TP2",Paramètres!$B$7*Paramètres!$B$6+(1-Paramètres!$B$7)*N(W24),IF(Y24="Sortie manuelle",N(Z24),"")))))))</f>
        <v/>
      </c>
      <c r="AB24" s="34" t="str">
        <f aca="false">IF(AA24="","",AA24*IF(X24="",Paramètres!$B$5,X24))</f>
        <v/>
      </c>
      <c r="AC24" s="35" t="str">
        <f aca="false">IF(AB24="","",Paramètres!$B$4*(1+SUM(AB$5:AB24)))</f>
        <v/>
      </c>
      <c r="AD24" s="29"/>
      <c r="AE24" s="29"/>
      <c r="AF24" s="29"/>
      <c r="AG24" s="36"/>
      <c r="AH24" s="36"/>
      <c r="AI24" s="33" t="str">
        <f aca="false">IF(AA24="","",SUM(AA$5:AA24))</f>
        <v/>
      </c>
      <c r="AJ24" s="33" t="str">
        <f aca="false">IF(AI24="","",MAX(AI24,MAX(AJ$5:AJ23),0))</f>
        <v/>
      </c>
      <c r="AK24" s="33" t="str">
        <f aca="false">IF(AI24="","",AI24-AJ24)</f>
        <v/>
      </c>
      <c r="AL24" s="25" t="str">
        <f aca="false">IF(AA24="","",IF(AA24&lt;0,N(AL23)+1,0))</f>
        <v/>
      </c>
      <c r="AM24" s="37" t="str">
        <f aca="false">IF(B24="","",B24-WEEKDAY(B24,2)+1)</f>
        <v/>
      </c>
    </row>
    <row r="25" customFormat="false" ht="15" hidden="false" customHeight="false" outlineLevel="0" collapsed="false">
      <c r="A25" s="25" t="str">
        <f aca="false">IF(B25="","",ROW()-4)</f>
        <v/>
      </c>
      <c r="B25" s="26"/>
      <c r="C25" s="27" t="str">
        <f aca="false">IF(B25="","",CHOOSE(WEEKDAY(B25,2),"Lundi","Mardi","Mercredi","Jeudi","Vendredi","Samedi","Dimanche"))</f>
        <v/>
      </c>
      <c r="D25" s="28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5" t="str">
        <f aca="false">IF(B25="","",OR(AND(H25="Achat",I25="Haussier"),AND(H25="Vente",I25="Baissier"))*1+OR(AND(H25="Achat",J25="Discount"),AND(H25="Vente",J25="Premium"))*1+AND(K25&lt;&gt;"",K25&lt;&gt;"Aucune")*1+OR(L25="CHoCH",L25="BOS")*1+(M25="Oui")*1+OR(G25="Londres",G25="New York")*1+(O25="Non")*1)</f>
        <v/>
      </c>
      <c r="Q25" s="27" t="str">
        <f aca="false">IF(P25="","",IF(P25=7,"A+",IF(P25&gt;=5,"B","C")))</f>
        <v/>
      </c>
      <c r="R25" s="29"/>
      <c r="S25" s="29"/>
      <c r="T25" s="27" t="str">
        <f aca="false">IF(OR(R25="",S25=""),"",R25+(R25-S25)*Paramètres!$B$6)</f>
        <v/>
      </c>
      <c r="U25" s="29"/>
      <c r="V25" s="27" t="str">
        <f aca="false">IF(OR(R25="",S25=""),"",ABS(R25-S25))</f>
        <v/>
      </c>
      <c r="W25" s="30" t="str">
        <f aca="false">IF(OR(U25="",V25="",N(V25)=0),"",ABS(U25-R25)/V25)</f>
        <v/>
      </c>
      <c r="X25" s="31"/>
      <c r="Y25" s="29"/>
      <c r="Z25" s="32"/>
      <c r="AA25" s="33" t="str">
        <f aca="false">IF(Y25="","",IF(Y25="Stop",-1,IF(Y25="BE",0,IF(Y25="TP1 + BE",Paramètres!$B$7*Paramètres!$B$6,IF(Y25="TP1 (100 %)",Paramètres!$B$6,IF(Y25="TP2",Paramètres!$B$7*Paramètres!$B$6+(1-Paramètres!$B$7)*N(W25),IF(Y25="Sortie manuelle",N(Z25),"")))))))</f>
        <v/>
      </c>
      <c r="AB25" s="34" t="str">
        <f aca="false">IF(AA25="","",AA25*IF(X25="",Paramètres!$B$5,X25))</f>
        <v/>
      </c>
      <c r="AC25" s="35" t="str">
        <f aca="false">IF(AB25="","",Paramètres!$B$4*(1+SUM(AB$5:AB25)))</f>
        <v/>
      </c>
      <c r="AD25" s="29"/>
      <c r="AE25" s="29"/>
      <c r="AF25" s="29"/>
      <c r="AG25" s="36"/>
      <c r="AH25" s="36"/>
      <c r="AI25" s="33" t="str">
        <f aca="false">IF(AA25="","",SUM(AA$5:AA25))</f>
        <v/>
      </c>
      <c r="AJ25" s="33" t="str">
        <f aca="false">IF(AI25="","",MAX(AI25,MAX(AJ$5:AJ24),0))</f>
        <v/>
      </c>
      <c r="AK25" s="33" t="str">
        <f aca="false">IF(AI25="","",AI25-AJ25)</f>
        <v/>
      </c>
      <c r="AL25" s="25" t="str">
        <f aca="false">IF(AA25="","",IF(AA25&lt;0,N(AL24)+1,0))</f>
        <v/>
      </c>
      <c r="AM25" s="37" t="str">
        <f aca="false">IF(B25="","",B25-WEEKDAY(B25,2)+1)</f>
        <v/>
      </c>
    </row>
    <row r="26" customFormat="false" ht="15" hidden="false" customHeight="false" outlineLevel="0" collapsed="false">
      <c r="A26" s="25" t="str">
        <f aca="false">IF(B26="","",ROW()-4)</f>
        <v/>
      </c>
      <c r="B26" s="26"/>
      <c r="C26" s="27" t="str">
        <f aca="false">IF(B26="","",CHOOSE(WEEKDAY(B26,2),"Lundi","Mardi","Mercredi","Jeudi","Vendredi","Samedi","Dimanche"))</f>
        <v/>
      </c>
      <c r="D26" s="28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5" t="str">
        <f aca="false">IF(B26="","",OR(AND(H26="Achat",I26="Haussier"),AND(H26="Vente",I26="Baissier"))*1+OR(AND(H26="Achat",J26="Discount"),AND(H26="Vente",J26="Premium"))*1+AND(K26&lt;&gt;"",K26&lt;&gt;"Aucune")*1+OR(L26="CHoCH",L26="BOS")*1+(M26="Oui")*1+OR(G26="Londres",G26="New York")*1+(O26="Non")*1)</f>
        <v/>
      </c>
      <c r="Q26" s="27" t="str">
        <f aca="false">IF(P26="","",IF(P26=7,"A+",IF(P26&gt;=5,"B","C")))</f>
        <v/>
      </c>
      <c r="R26" s="29"/>
      <c r="S26" s="29"/>
      <c r="T26" s="27" t="str">
        <f aca="false">IF(OR(R26="",S26=""),"",R26+(R26-S26)*Paramètres!$B$6)</f>
        <v/>
      </c>
      <c r="U26" s="29"/>
      <c r="V26" s="27" t="str">
        <f aca="false">IF(OR(R26="",S26=""),"",ABS(R26-S26))</f>
        <v/>
      </c>
      <c r="W26" s="30" t="str">
        <f aca="false">IF(OR(U26="",V26="",N(V26)=0),"",ABS(U26-R26)/V26)</f>
        <v/>
      </c>
      <c r="X26" s="31"/>
      <c r="Y26" s="29"/>
      <c r="Z26" s="32"/>
      <c r="AA26" s="33" t="str">
        <f aca="false">IF(Y26="","",IF(Y26="Stop",-1,IF(Y26="BE",0,IF(Y26="TP1 + BE",Paramètres!$B$7*Paramètres!$B$6,IF(Y26="TP1 (100 %)",Paramètres!$B$6,IF(Y26="TP2",Paramètres!$B$7*Paramètres!$B$6+(1-Paramètres!$B$7)*N(W26),IF(Y26="Sortie manuelle",N(Z26),"")))))))</f>
        <v/>
      </c>
      <c r="AB26" s="34" t="str">
        <f aca="false">IF(AA26="","",AA26*IF(X26="",Paramètres!$B$5,X26))</f>
        <v/>
      </c>
      <c r="AC26" s="35" t="str">
        <f aca="false">IF(AB26="","",Paramètres!$B$4*(1+SUM(AB$5:AB26)))</f>
        <v/>
      </c>
      <c r="AD26" s="29"/>
      <c r="AE26" s="29"/>
      <c r="AF26" s="29"/>
      <c r="AG26" s="36"/>
      <c r="AH26" s="36"/>
      <c r="AI26" s="33" t="str">
        <f aca="false">IF(AA26="","",SUM(AA$5:AA26))</f>
        <v/>
      </c>
      <c r="AJ26" s="33" t="str">
        <f aca="false">IF(AI26="","",MAX(AI26,MAX(AJ$5:AJ25),0))</f>
        <v/>
      </c>
      <c r="AK26" s="33" t="str">
        <f aca="false">IF(AI26="","",AI26-AJ26)</f>
        <v/>
      </c>
      <c r="AL26" s="25" t="str">
        <f aca="false">IF(AA26="","",IF(AA26&lt;0,N(AL25)+1,0))</f>
        <v/>
      </c>
      <c r="AM26" s="37" t="str">
        <f aca="false">IF(B26="","",B26-WEEKDAY(B26,2)+1)</f>
        <v/>
      </c>
    </row>
    <row r="27" customFormat="false" ht="15" hidden="false" customHeight="false" outlineLevel="0" collapsed="false">
      <c r="A27" s="25" t="str">
        <f aca="false">IF(B27="","",ROW()-4)</f>
        <v/>
      </c>
      <c r="B27" s="26"/>
      <c r="C27" s="27" t="str">
        <f aca="false">IF(B27="","",CHOOSE(WEEKDAY(B27,2),"Lundi","Mardi","Mercredi","Jeudi","Vendredi","Samedi","Dimanche"))</f>
        <v/>
      </c>
      <c r="D27" s="28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5" t="str">
        <f aca="false">IF(B27="","",OR(AND(H27="Achat",I27="Haussier"),AND(H27="Vente",I27="Baissier"))*1+OR(AND(H27="Achat",J27="Discount"),AND(H27="Vente",J27="Premium"))*1+AND(K27&lt;&gt;"",K27&lt;&gt;"Aucune")*1+OR(L27="CHoCH",L27="BOS")*1+(M27="Oui")*1+OR(G27="Londres",G27="New York")*1+(O27="Non")*1)</f>
        <v/>
      </c>
      <c r="Q27" s="27" t="str">
        <f aca="false">IF(P27="","",IF(P27=7,"A+",IF(P27&gt;=5,"B","C")))</f>
        <v/>
      </c>
      <c r="R27" s="29"/>
      <c r="S27" s="29"/>
      <c r="T27" s="27" t="str">
        <f aca="false">IF(OR(R27="",S27=""),"",R27+(R27-S27)*Paramètres!$B$6)</f>
        <v/>
      </c>
      <c r="U27" s="29"/>
      <c r="V27" s="27" t="str">
        <f aca="false">IF(OR(R27="",S27=""),"",ABS(R27-S27))</f>
        <v/>
      </c>
      <c r="W27" s="30" t="str">
        <f aca="false">IF(OR(U27="",V27="",N(V27)=0),"",ABS(U27-R27)/V27)</f>
        <v/>
      </c>
      <c r="X27" s="31"/>
      <c r="Y27" s="29"/>
      <c r="Z27" s="32"/>
      <c r="AA27" s="33" t="str">
        <f aca="false">IF(Y27="","",IF(Y27="Stop",-1,IF(Y27="BE",0,IF(Y27="TP1 + BE",Paramètres!$B$7*Paramètres!$B$6,IF(Y27="TP1 (100 %)",Paramètres!$B$6,IF(Y27="TP2",Paramètres!$B$7*Paramètres!$B$6+(1-Paramètres!$B$7)*N(W27),IF(Y27="Sortie manuelle",N(Z27),"")))))))</f>
        <v/>
      </c>
      <c r="AB27" s="34" t="str">
        <f aca="false">IF(AA27="","",AA27*IF(X27="",Paramètres!$B$5,X27))</f>
        <v/>
      </c>
      <c r="AC27" s="35" t="str">
        <f aca="false">IF(AB27="","",Paramètres!$B$4*(1+SUM(AB$5:AB27)))</f>
        <v/>
      </c>
      <c r="AD27" s="29"/>
      <c r="AE27" s="29"/>
      <c r="AF27" s="29"/>
      <c r="AG27" s="36"/>
      <c r="AH27" s="36"/>
      <c r="AI27" s="33" t="str">
        <f aca="false">IF(AA27="","",SUM(AA$5:AA27))</f>
        <v/>
      </c>
      <c r="AJ27" s="33" t="str">
        <f aca="false">IF(AI27="","",MAX(AI27,MAX(AJ$5:AJ26),0))</f>
        <v/>
      </c>
      <c r="AK27" s="33" t="str">
        <f aca="false">IF(AI27="","",AI27-AJ27)</f>
        <v/>
      </c>
      <c r="AL27" s="25" t="str">
        <f aca="false">IF(AA27="","",IF(AA27&lt;0,N(AL26)+1,0))</f>
        <v/>
      </c>
      <c r="AM27" s="37" t="str">
        <f aca="false">IF(B27="","",B27-WEEKDAY(B27,2)+1)</f>
        <v/>
      </c>
    </row>
    <row r="28" customFormat="false" ht="15" hidden="false" customHeight="false" outlineLevel="0" collapsed="false">
      <c r="A28" s="25" t="str">
        <f aca="false">IF(B28="","",ROW()-4)</f>
        <v/>
      </c>
      <c r="B28" s="26"/>
      <c r="C28" s="27" t="str">
        <f aca="false">IF(B28="","",CHOOSE(WEEKDAY(B28,2),"Lundi","Mardi","Mercredi","Jeudi","Vendredi","Samedi","Dimanche"))</f>
        <v/>
      </c>
      <c r="D28" s="28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5" t="str">
        <f aca="false">IF(B28="","",OR(AND(H28="Achat",I28="Haussier"),AND(H28="Vente",I28="Baissier"))*1+OR(AND(H28="Achat",J28="Discount"),AND(H28="Vente",J28="Premium"))*1+AND(K28&lt;&gt;"",K28&lt;&gt;"Aucune")*1+OR(L28="CHoCH",L28="BOS")*1+(M28="Oui")*1+OR(G28="Londres",G28="New York")*1+(O28="Non")*1)</f>
        <v/>
      </c>
      <c r="Q28" s="27" t="str">
        <f aca="false">IF(P28="","",IF(P28=7,"A+",IF(P28&gt;=5,"B","C")))</f>
        <v/>
      </c>
      <c r="R28" s="29"/>
      <c r="S28" s="29"/>
      <c r="T28" s="27" t="str">
        <f aca="false">IF(OR(R28="",S28=""),"",R28+(R28-S28)*Paramètres!$B$6)</f>
        <v/>
      </c>
      <c r="U28" s="29"/>
      <c r="V28" s="27" t="str">
        <f aca="false">IF(OR(R28="",S28=""),"",ABS(R28-S28))</f>
        <v/>
      </c>
      <c r="W28" s="30" t="str">
        <f aca="false">IF(OR(U28="",V28="",N(V28)=0),"",ABS(U28-R28)/V28)</f>
        <v/>
      </c>
      <c r="X28" s="31"/>
      <c r="Y28" s="29"/>
      <c r="Z28" s="32"/>
      <c r="AA28" s="33" t="str">
        <f aca="false">IF(Y28="","",IF(Y28="Stop",-1,IF(Y28="BE",0,IF(Y28="TP1 + BE",Paramètres!$B$7*Paramètres!$B$6,IF(Y28="TP1 (100 %)",Paramètres!$B$6,IF(Y28="TP2",Paramètres!$B$7*Paramètres!$B$6+(1-Paramètres!$B$7)*N(W28),IF(Y28="Sortie manuelle",N(Z28),"")))))))</f>
        <v/>
      </c>
      <c r="AB28" s="34" t="str">
        <f aca="false">IF(AA28="","",AA28*IF(X28="",Paramètres!$B$5,X28))</f>
        <v/>
      </c>
      <c r="AC28" s="35" t="str">
        <f aca="false">IF(AB28="","",Paramètres!$B$4*(1+SUM(AB$5:AB28)))</f>
        <v/>
      </c>
      <c r="AD28" s="29"/>
      <c r="AE28" s="29"/>
      <c r="AF28" s="29"/>
      <c r="AG28" s="36"/>
      <c r="AH28" s="36"/>
      <c r="AI28" s="33" t="str">
        <f aca="false">IF(AA28="","",SUM(AA$5:AA28))</f>
        <v/>
      </c>
      <c r="AJ28" s="33" t="str">
        <f aca="false">IF(AI28="","",MAX(AI28,MAX(AJ$5:AJ27),0))</f>
        <v/>
      </c>
      <c r="AK28" s="33" t="str">
        <f aca="false">IF(AI28="","",AI28-AJ28)</f>
        <v/>
      </c>
      <c r="AL28" s="25" t="str">
        <f aca="false">IF(AA28="","",IF(AA28&lt;0,N(AL27)+1,0))</f>
        <v/>
      </c>
      <c r="AM28" s="37" t="str">
        <f aca="false">IF(B28="","",B28-WEEKDAY(B28,2)+1)</f>
        <v/>
      </c>
    </row>
    <row r="29" customFormat="false" ht="15" hidden="false" customHeight="false" outlineLevel="0" collapsed="false">
      <c r="A29" s="25" t="str">
        <f aca="false">IF(B29="","",ROW()-4)</f>
        <v/>
      </c>
      <c r="B29" s="26"/>
      <c r="C29" s="27" t="str">
        <f aca="false">IF(B29="","",CHOOSE(WEEKDAY(B29,2),"Lundi","Mardi","Mercredi","Jeudi","Vendredi","Samedi","Dimanche"))</f>
        <v/>
      </c>
      <c r="D29" s="28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5" t="str">
        <f aca="false">IF(B29="","",OR(AND(H29="Achat",I29="Haussier"),AND(H29="Vente",I29="Baissier"))*1+OR(AND(H29="Achat",J29="Discount"),AND(H29="Vente",J29="Premium"))*1+AND(K29&lt;&gt;"",K29&lt;&gt;"Aucune")*1+OR(L29="CHoCH",L29="BOS")*1+(M29="Oui")*1+OR(G29="Londres",G29="New York")*1+(O29="Non")*1)</f>
        <v/>
      </c>
      <c r="Q29" s="27" t="str">
        <f aca="false">IF(P29="","",IF(P29=7,"A+",IF(P29&gt;=5,"B","C")))</f>
        <v/>
      </c>
      <c r="R29" s="29"/>
      <c r="S29" s="29"/>
      <c r="T29" s="27" t="str">
        <f aca="false">IF(OR(R29="",S29=""),"",R29+(R29-S29)*Paramètres!$B$6)</f>
        <v/>
      </c>
      <c r="U29" s="29"/>
      <c r="V29" s="27" t="str">
        <f aca="false">IF(OR(R29="",S29=""),"",ABS(R29-S29))</f>
        <v/>
      </c>
      <c r="W29" s="30" t="str">
        <f aca="false">IF(OR(U29="",V29="",N(V29)=0),"",ABS(U29-R29)/V29)</f>
        <v/>
      </c>
      <c r="X29" s="31"/>
      <c r="Y29" s="29"/>
      <c r="Z29" s="32"/>
      <c r="AA29" s="33" t="str">
        <f aca="false">IF(Y29="","",IF(Y29="Stop",-1,IF(Y29="BE",0,IF(Y29="TP1 + BE",Paramètres!$B$7*Paramètres!$B$6,IF(Y29="TP1 (100 %)",Paramètres!$B$6,IF(Y29="TP2",Paramètres!$B$7*Paramètres!$B$6+(1-Paramètres!$B$7)*N(W29),IF(Y29="Sortie manuelle",N(Z29),"")))))))</f>
        <v/>
      </c>
      <c r="AB29" s="34" t="str">
        <f aca="false">IF(AA29="","",AA29*IF(X29="",Paramètres!$B$5,X29))</f>
        <v/>
      </c>
      <c r="AC29" s="35" t="str">
        <f aca="false">IF(AB29="","",Paramètres!$B$4*(1+SUM(AB$5:AB29)))</f>
        <v/>
      </c>
      <c r="AD29" s="29"/>
      <c r="AE29" s="29"/>
      <c r="AF29" s="29"/>
      <c r="AG29" s="36"/>
      <c r="AH29" s="36"/>
      <c r="AI29" s="33" t="str">
        <f aca="false">IF(AA29="","",SUM(AA$5:AA29))</f>
        <v/>
      </c>
      <c r="AJ29" s="33" t="str">
        <f aca="false">IF(AI29="","",MAX(AI29,MAX(AJ$5:AJ28),0))</f>
        <v/>
      </c>
      <c r="AK29" s="33" t="str">
        <f aca="false">IF(AI29="","",AI29-AJ29)</f>
        <v/>
      </c>
      <c r="AL29" s="25" t="str">
        <f aca="false">IF(AA29="","",IF(AA29&lt;0,N(AL28)+1,0))</f>
        <v/>
      </c>
      <c r="AM29" s="37" t="str">
        <f aca="false">IF(B29="","",B29-WEEKDAY(B29,2)+1)</f>
        <v/>
      </c>
    </row>
    <row r="30" customFormat="false" ht="15" hidden="false" customHeight="false" outlineLevel="0" collapsed="false">
      <c r="A30" s="25" t="str">
        <f aca="false">IF(B30="","",ROW()-4)</f>
        <v/>
      </c>
      <c r="B30" s="26"/>
      <c r="C30" s="27" t="str">
        <f aca="false">IF(B30="","",CHOOSE(WEEKDAY(B30,2),"Lundi","Mardi","Mercredi","Jeudi","Vendredi","Samedi","Dimanche"))</f>
        <v/>
      </c>
      <c r="D30" s="28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5" t="str">
        <f aca="false">IF(B30="","",OR(AND(H30="Achat",I30="Haussier"),AND(H30="Vente",I30="Baissier"))*1+OR(AND(H30="Achat",J30="Discount"),AND(H30="Vente",J30="Premium"))*1+AND(K30&lt;&gt;"",K30&lt;&gt;"Aucune")*1+OR(L30="CHoCH",L30="BOS")*1+(M30="Oui")*1+OR(G30="Londres",G30="New York")*1+(O30="Non")*1)</f>
        <v/>
      </c>
      <c r="Q30" s="27" t="str">
        <f aca="false">IF(P30="","",IF(P30=7,"A+",IF(P30&gt;=5,"B","C")))</f>
        <v/>
      </c>
      <c r="R30" s="29"/>
      <c r="S30" s="29"/>
      <c r="T30" s="27" t="str">
        <f aca="false">IF(OR(R30="",S30=""),"",R30+(R30-S30)*Paramètres!$B$6)</f>
        <v/>
      </c>
      <c r="U30" s="29"/>
      <c r="V30" s="27" t="str">
        <f aca="false">IF(OR(R30="",S30=""),"",ABS(R30-S30))</f>
        <v/>
      </c>
      <c r="W30" s="30" t="str">
        <f aca="false">IF(OR(U30="",V30="",N(V30)=0),"",ABS(U30-R30)/V30)</f>
        <v/>
      </c>
      <c r="X30" s="31"/>
      <c r="Y30" s="29"/>
      <c r="Z30" s="32"/>
      <c r="AA30" s="33" t="str">
        <f aca="false">IF(Y30="","",IF(Y30="Stop",-1,IF(Y30="BE",0,IF(Y30="TP1 + BE",Paramètres!$B$7*Paramètres!$B$6,IF(Y30="TP1 (100 %)",Paramètres!$B$6,IF(Y30="TP2",Paramètres!$B$7*Paramètres!$B$6+(1-Paramètres!$B$7)*N(W30),IF(Y30="Sortie manuelle",N(Z30),"")))))))</f>
        <v/>
      </c>
      <c r="AB30" s="34" t="str">
        <f aca="false">IF(AA30="","",AA30*IF(X30="",Paramètres!$B$5,X30))</f>
        <v/>
      </c>
      <c r="AC30" s="35" t="str">
        <f aca="false">IF(AB30="","",Paramètres!$B$4*(1+SUM(AB$5:AB30)))</f>
        <v/>
      </c>
      <c r="AD30" s="29"/>
      <c r="AE30" s="29"/>
      <c r="AF30" s="29"/>
      <c r="AG30" s="36"/>
      <c r="AH30" s="36"/>
      <c r="AI30" s="33" t="str">
        <f aca="false">IF(AA30="","",SUM(AA$5:AA30))</f>
        <v/>
      </c>
      <c r="AJ30" s="33" t="str">
        <f aca="false">IF(AI30="","",MAX(AI30,MAX(AJ$5:AJ29),0))</f>
        <v/>
      </c>
      <c r="AK30" s="33" t="str">
        <f aca="false">IF(AI30="","",AI30-AJ30)</f>
        <v/>
      </c>
      <c r="AL30" s="25" t="str">
        <f aca="false">IF(AA30="","",IF(AA30&lt;0,N(AL29)+1,0))</f>
        <v/>
      </c>
      <c r="AM30" s="37" t="str">
        <f aca="false">IF(B30="","",B30-WEEKDAY(B30,2)+1)</f>
        <v/>
      </c>
    </row>
    <row r="31" customFormat="false" ht="15" hidden="false" customHeight="false" outlineLevel="0" collapsed="false">
      <c r="A31" s="25" t="str">
        <f aca="false">IF(B31="","",ROW()-4)</f>
        <v/>
      </c>
      <c r="B31" s="26"/>
      <c r="C31" s="27" t="str">
        <f aca="false">IF(B31="","",CHOOSE(WEEKDAY(B31,2),"Lundi","Mardi","Mercredi","Jeudi","Vendredi","Samedi","Dimanche"))</f>
        <v/>
      </c>
      <c r="D31" s="28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5" t="str">
        <f aca="false">IF(B31="","",OR(AND(H31="Achat",I31="Haussier"),AND(H31="Vente",I31="Baissier"))*1+OR(AND(H31="Achat",J31="Discount"),AND(H31="Vente",J31="Premium"))*1+AND(K31&lt;&gt;"",K31&lt;&gt;"Aucune")*1+OR(L31="CHoCH",L31="BOS")*1+(M31="Oui")*1+OR(G31="Londres",G31="New York")*1+(O31="Non")*1)</f>
        <v/>
      </c>
      <c r="Q31" s="27" t="str">
        <f aca="false">IF(P31="","",IF(P31=7,"A+",IF(P31&gt;=5,"B","C")))</f>
        <v/>
      </c>
      <c r="R31" s="29"/>
      <c r="S31" s="29"/>
      <c r="T31" s="27" t="str">
        <f aca="false">IF(OR(R31="",S31=""),"",R31+(R31-S31)*Paramètres!$B$6)</f>
        <v/>
      </c>
      <c r="U31" s="29"/>
      <c r="V31" s="27" t="str">
        <f aca="false">IF(OR(R31="",S31=""),"",ABS(R31-S31))</f>
        <v/>
      </c>
      <c r="W31" s="30" t="str">
        <f aca="false">IF(OR(U31="",V31="",N(V31)=0),"",ABS(U31-R31)/V31)</f>
        <v/>
      </c>
      <c r="X31" s="31"/>
      <c r="Y31" s="29"/>
      <c r="Z31" s="32"/>
      <c r="AA31" s="33" t="str">
        <f aca="false">IF(Y31="","",IF(Y31="Stop",-1,IF(Y31="BE",0,IF(Y31="TP1 + BE",Paramètres!$B$7*Paramètres!$B$6,IF(Y31="TP1 (100 %)",Paramètres!$B$6,IF(Y31="TP2",Paramètres!$B$7*Paramètres!$B$6+(1-Paramètres!$B$7)*N(W31),IF(Y31="Sortie manuelle",N(Z31),"")))))))</f>
        <v/>
      </c>
      <c r="AB31" s="34" t="str">
        <f aca="false">IF(AA31="","",AA31*IF(X31="",Paramètres!$B$5,X31))</f>
        <v/>
      </c>
      <c r="AC31" s="35" t="str">
        <f aca="false">IF(AB31="","",Paramètres!$B$4*(1+SUM(AB$5:AB31)))</f>
        <v/>
      </c>
      <c r="AD31" s="29"/>
      <c r="AE31" s="29"/>
      <c r="AF31" s="29"/>
      <c r="AG31" s="36"/>
      <c r="AH31" s="36"/>
      <c r="AI31" s="33" t="str">
        <f aca="false">IF(AA31="","",SUM(AA$5:AA31))</f>
        <v/>
      </c>
      <c r="AJ31" s="33" t="str">
        <f aca="false">IF(AI31="","",MAX(AI31,MAX(AJ$5:AJ30),0))</f>
        <v/>
      </c>
      <c r="AK31" s="33" t="str">
        <f aca="false">IF(AI31="","",AI31-AJ31)</f>
        <v/>
      </c>
      <c r="AL31" s="25" t="str">
        <f aca="false">IF(AA31="","",IF(AA31&lt;0,N(AL30)+1,0))</f>
        <v/>
      </c>
      <c r="AM31" s="37" t="str">
        <f aca="false">IF(B31="","",B31-WEEKDAY(B31,2)+1)</f>
        <v/>
      </c>
    </row>
    <row r="32" customFormat="false" ht="15" hidden="false" customHeight="false" outlineLevel="0" collapsed="false">
      <c r="A32" s="25" t="str">
        <f aca="false">IF(B32="","",ROW()-4)</f>
        <v/>
      </c>
      <c r="B32" s="26"/>
      <c r="C32" s="27" t="str">
        <f aca="false">IF(B32="","",CHOOSE(WEEKDAY(B32,2),"Lundi","Mardi","Mercredi","Jeudi","Vendredi","Samedi","Dimanche"))</f>
        <v/>
      </c>
      <c r="D32" s="28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5" t="str">
        <f aca="false">IF(B32="","",OR(AND(H32="Achat",I32="Haussier"),AND(H32="Vente",I32="Baissier"))*1+OR(AND(H32="Achat",J32="Discount"),AND(H32="Vente",J32="Premium"))*1+AND(K32&lt;&gt;"",K32&lt;&gt;"Aucune")*1+OR(L32="CHoCH",L32="BOS")*1+(M32="Oui")*1+OR(G32="Londres",G32="New York")*1+(O32="Non")*1)</f>
        <v/>
      </c>
      <c r="Q32" s="27" t="str">
        <f aca="false">IF(P32="","",IF(P32=7,"A+",IF(P32&gt;=5,"B","C")))</f>
        <v/>
      </c>
      <c r="R32" s="29"/>
      <c r="S32" s="29"/>
      <c r="T32" s="27" t="str">
        <f aca="false">IF(OR(R32="",S32=""),"",R32+(R32-S32)*Paramètres!$B$6)</f>
        <v/>
      </c>
      <c r="U32" s="29"/>
      <c r="V32" s="27" t="str">
        <f aca="false">IF(OR(R32="",S32=""),"",ABS(R32-S32))</f>
        <v/>
      </c>
      <c r="W32" s="30" t="str">
        <f aca="false">IF(OR(U32="",V32="",N(V32)=0),"",ABS(U32-R32)/V32)</f>
        <v/>
      </c>
      <c r="X32" s="31"/>
      <c r="Y32" s="29"/>
      <c r="Z32" s="32"/>
      <c r="AA32" s="33" t="str">
        <f aca="false">IF(Y32="","",IF(Y32="Stop",-1,IF(Y32="BE",0,IF(Y32="TP1 + BE",Paramètres!$B$7*Paramètres!$B$6,IF(Y32="TP1 (100 %)",Paramètres!$B$6,IF(Y32="TP2",Paramètres!$B$7*Paramètres!$B$6+(1-Paramètres!$B$7)*N(W32),IF(Y32="Sortie manuelle",N(Z32),"")))))))</f>
        <v/>
      </c>
      <c r="AB32" s="34" t="str">
        <f aca="false">IF(AA32="","",AA32*IF(X32="",Paramètres!$B$5,X32))</f>
        <v/>
      </c>
      <c r="AC32" s="35" t="str">
        <f aca="false">IF(AB32="","",Paramètres!$B$4*(1+SUM(AB$5:AB32)))</f>
        <v/>
      </c>
      <c r="AD32" s="29"/>
      <c r="AE32" s="29"/>
      <c r="AF32" s="29"/>
      <c r="AG32" s="36"/>
      <c r="AH32" s="36"/>
      <c r="AI32" s="33" t="str">
        <f aca="false">IF(AA32="","",SUM(AA$5:AA32))</f>
        <v/>
      </c>
      <c r="AJ32" s="33" t="str">
        <f aca="false">IF(AI32="","",MAX(AI32,MAX(AJ$5:AJ31),0))</f>
        <v/>
      </c>
      <c r="AK32" s="33" t="str">
        <f aca="false">IF(AI32="","",AI32-AJ32)</f>
        <v/>
      </c>
      <c r="AL32" s="25" t="str">
        <f aca="false">IF(AA32="","",IF(AA32&lt;0,N(AL31)+1,0))</f>
        <v/>
      </c>
      <c r="AM32" s="37" t="str">
        <f aca="false">IF(B32="","",B32-WEEKDAY(B32,2)+1)</f>
        <v/>
      </c>
    </row>
    <row r="33" customFormat="false" ht="15" hidden="false" customHeight="false" outlineLevel="0" collapsed="false">
      <c r="A33" s="25" t="str">
        <f aca="false">IF(B33="","",ROW()-4)</f>
        <v/>
      </c>
      <c r="B33" s="26"/>
      <c r="C33" s="27" t="str">
        <f aca="false">IF(B33="","",CHOOSE(WEEKDAY(B33,2),"Lundi","Mardi","Mercredi","Jeudi","Vendredi","Samedi","Dimanche"))</f>
        <v/>
      </c>
      <c r="D33" s="28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5" t="str">
        <f aca="false">IF(B33="","",OR(AND(H33="Achat",I33="Haussier"),AND(H33="Vente",I33="Baissier"))*1+OR(AND(H33="Achat",J33="Discount"),AND(H33="Vente",J33="Premium"))*1+AND(K33&lt;&gt;"",K33&lt;&gt;"Aucune")*1+OR(L33="CHoCH",L33="BOS")*1+(M33="Oui")*1+OR(G33="Londres",G33="New York")*1+(O33="Non")*1)</f>
        <v/>
      </c>
      <c r="Q33" s="27" t="str">
        <f aca="false">IF(P33="","",IF(P33=7,"A+",IF(P33&gt;=5,"B","C")))</f>
        <v/>
      </c>
      <c r="R33" s="29"/>
      <c r="S33" s="29"/>
      <c r="T33" s="27" t="str">
        <f aca="false">IF(OR(R33="",S33=""),"",R33+(R33-S33)*Paramètres!$B$6)</f>
        <v/>
      </c>
      <c r="U33" s="29"/>
      <c r="V33" s="27" t="str">
        <f aca="false">IF(OR(R33="",S33=""),"",ABS(R33-S33))</f>
        <v/>
      </c>
      <c r="W33" s="30" t="str">
        <f aca="false">IF(OR(U33="",V33="",N(V33)=0),"",ABS(U33-R33)/V33)</f>
        <v/>
      </c>
      <c r="X33" s="31"/>
      <c r="Y33" s="29"/>
      <c r="Z33" s="32"/>
      <c r="AA33" s="33" t="str">
        <f aca="false">IF(Y33="","",IF(Y33="Stop",-1,IF(Y33="BE",0,IF(Y33="TP1 + BE",Paramètres!$B$7*Paramètres!$B$6,IF(Y33="TP1 (100 %)",Paramètres!$B$6,IF(Y33="TP2",Paramètres!$B$7*Paramètres!$B$6+(1-Paramètres!$B$7)*N(W33),IF(Y33="Sortie manuelle",N(Z33),"")))))))</f>
        <v/>
      </c>
      <c r="AB33" s="34" t="str">
        <f aca="false">IF(AA33="","",AA33*IF(X33="",Paramètres!$B$5,X33))</f>
        <v/>
      </c>
      <c r="AC33" s="35" t="str">
        <f aca="false">IF(AB33="","",Paramètres!$B$4*(1+SUM(AB$5:AB33)))</f>
        <v/>
      </c>
      <c r="AD33" s="29"/>
      <c r="AE33" s="29"/>
      <c r="AF33" s="29"/>
      <c r="AG33" s="36"/>
      <c r="AH33" s="36"/>
      <c r="AI33" s="33" t="str">
        <f aca="false">IF(AA33="","",SUM(AA$5:AA33))</f>
        <v/>
      </c>
      <c r="AJ33" s="33" t="str">
        <f aca="false">IF(AI33="","",MAX(AI33,MAX(AJ$5:AJ32),0))</f>
        <v/>
      </c>
      <c r="AK33" s="33" t="str">
        <f aca="false">IF(AI33="","",AI33-AJ33)</f>
        <v/>
      </c>
      <c r="AL33" s="25" t="str">
        <f aca="false">IF(AA33="","",IF(AA33&lt;0,N(AL32)+1,0))</f>
        <v/>
      </c>
      <c r="AM33" s="37" t="str">
        <f aca="false">IF(B33="","",B33-WEEKDAY(B33,2)+1)</f>
        <v/>
      </c>
    </row>
    <row r="34" customFormat="false" ht="15" hidden="false" customHeight="false" outlineLevel="0" collapsed="false">
      <c r="A34" s="25" t="str">
        <f aca="false">IF(B34="","",ROW()-4)</f>
        <v/>
      </c>
      <c r="B34" s="26"/>
      <c r="C34" s="27" t="str">
        <f aca="false">IF(B34="","",CHOOSE(WEEKDAY(B34,2),"Lundi","Mardi","Mercredi","Jeudi","Vendredi","Samedi","Dimanche"))</f>
        <v/>
      </c>
      <c r="D34" s="28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5" t="str">
        <f aca="false">IF(B34="","",OR(AND(H34="Achat",I34="Haussier"),AND(H34="Vente",I34="Baissier"))*1+OR(AND(H34="Achat",J34="Discount"),AND(H34="Vente",J34="Premium"))*1+AND(K34&lt;&gt;"",K34&lt;&gt;"Aucune")*1+OR(L34="CHoCH",L34="BOS")*1+(M34="Oui")*1+OR(G34="Londres",G34="New York")*1+(O34="Non")*1)</f>
        <v/>
      </c>
      <c r="Q34" s="27" t="str">
        <f aca="false">IF(P34="","",IF(P34=7,"A+",IF(P34&gt;=5,"B","C")))</f>
        <v/>
      </c>
      <c r="R34" s="29"/>
      <c r="S34" s="29"/>
      <c r="T34" s="27" t="str">
        <f aca="false">IF(OR(R34="",S34=""),"",R34+(R34-S34)*Paramètres!$B$6)</f>
        <v/>
      </c>
      <c r="U34" s="29"/>
      <c r="V34" s="27" t="str">
        <f aca="false">IF(OR(R34="",S34=""),"",ABS(R34-S34))</f>
        <v/>
      </c>
      <c r="W34" s="30" t="str">
        <f aca="false">IF(OR(U34="",V34="",N(V34)=0),"",ABS(U34-R34)/V34)</f>
        <v/>
      </c>
      <c r="X34" s="31"/>
      <c r="Y34" s="29"/>
      <c r="Z34" s="32"/>
      <c r="AA34" s="33" t="str">
        <f aca="false">IF(Y34="","",IF(Y34="Stop",-1,IF(Y34="BE",0,IF(Y34="TP1 + BE",Paramètres!$B$7*Paramètres!$B$6,IF(Y34="TP1 (100 %)",Paramètres!$B$6,IF(Y34="TP2",Paramètres!$B$7*Paramètres!$B$6+(1-Paramètres!$B$7)*N(W34),IF(Y34="Sortie manuelle",N(Z34),"")))))))</f>
        <v/>
      </c>
      <c r="AB34" s="34" t="str">
        <f aca="false">IF(AA34="","",AA34*IF(X34="",Paramètres!$B$5,X34))</f>
        <v/>
      </c>
      <c r="AC34" s="35" t="str">
        <f aca="false">IF(AB34="","",Paramètres!$B$4*(1+SUM(AB$5:AB34)))</f>
        <v/>
      </c>
      <c r="AD34" s="29"/>
      <c r="AE34" s="29"/>
      <c r="AF34" s="29"/>
      <c r="AG34" s="36"/>
      <c r="AH34" s="36"/>
      <c r="AI34" s="33" t="str">
        <f aca="false">IF(AA34="","",SUM(AA$5:AA34))</f>
        <v/>
      </c>
      <c r="AJ34" s="33" t="str">
        <f aca="false">IF(AI34="","",MAX(AI34,MAX(AJ$5:AJ33),0))</f>
        <v/>
      </c>
      <c r="AK34" s="33" t="str">
        <f aca="false">IF(AI34="","",AI34-AJ34)</f>
        <v/>
      </c>
      <c r="AL34" s="25" t="str">
        <f aca="false">IF(AA34="","",IF(AA34&lt;0,N(AL33)+1,0))</f>
        <v/>
      </c>
      <c r="AM34" s="37" t="str">
        <f aca="false">IF(B34="","",B34-WEEKDAY(B34,2)+1)</f>
        <v/>
      </c>
    </row>
    <row r="35" customFormat="false" ht="15" hidden="false" customHeight="false" outlineLevel="0" collapsed="false">
      <c r="A35" s="25" t="str">
        <f aca="false">IF(B35="","",ROW()-4)</f>
        <v/>
      </c>
      <c r="B35" s="26"/>
      <c r="C35" s="27" t="str">
        <f aca="false">IF(B35="","",CHOOSE(WEEKDAY(B35,2),"Lundi","Mardi","Mercredi","Jeudi","Vendredi","Samedi","Dimanche"))</f>
        <v/>
      </c>
      <c r="D35" s="28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5" t="str">
        <f aca="false">IF(B35="","",OR(AND(H35="Achat",I35="Haussier"),AND(H35="Vente",I35="Baissier"))*1+OR(AND(H35="Achat",J35="Discount"),AND(H35="Vente",J35="Premium"))*1+AND(K35&lt;&gt;"",K35&lt;&gt;"Aucune")*1+OR(L35="CHoCH",L35="BOS")*1+(M35="Oui")*1+OR(G35="Londres",G35="New York")*1+(O35="Non")*1)</f>
        <v/>
      </c>
      <c r="Q35" s="27" t="str">
        <f aca="false">IF(P35="","",IF(P35=7,"A+",IF(P35&gt;=5,"B","C")))</f>
        <v/>
      </c>
      <c r="R35" s="29"/>
      <c r="S35" s="29"/>
      <c r="T35" s="27" t="str">
        <f aca="false">IF(OR(R35="",S35=""),"",R35+(R35-S35)*Paramètres!$B$6)</f>
        <v/>
      </c>
      <c r="U35" s="29"/>
      <c r="V35" s="27" t="str">
        <f aca="false">IF(OR(R35="",S35=""),"",ABS(R35-S35))</f>
        <v/>
      </c>
      <c r="W35" s="30" t="str">
        <f aca="false">IF(OR(U35="",V35="",N(V35)=0),"",ABS(U35-R35)/V35)</f>
        <v/>
      </c>
      <c r="X35" s="31"/>
      <c r="Y35" s="29"/>
      <c r="Z35" s="32"/>
      <c r="AA35" s="33" t="str">
        <f aca="false">IF(Y35="","",IF(Y35="Stop",-1,IF(Y35="BE",0,IF(Y35="TP1 + BE",Paramètres!$B$7*Paramètres!$B$6,IF(Y35="TP1 (100 %)",Paramètres!$B$6,IF(Y35="TP2",Paramètres!$B$7*Paramètres!$B$6+(1-Paramètres!$B$7)*N(W35),IF(Y35="Sortie manuelle",N(Z35),"")))))))</f>
        <v/>
      </c>
      <c r="AB35" s="34" t="str">
        <f aca="false">IF(AA35="","",AA35*IF(X35="",Paramètres!$B$5,X35))</f>
        <v/>
      </c>
      <c r="AC35" s="35" t="str">
        <f aca="false">IF(AB35="","",Paramètres!$B$4*(1+SUM(AB$5:AB35)))</f>
        <v/>
      </c>
      <c r="AD35" s="29"/>
      <c r="AE35" s="29"/>
      <c r="AF35" s="29"/>
      <c r="AG35" s="36"/>
      <c r="AH35" s="36"/>
      <c r="AI35" s="33" t="str">
        <f aca="false">IF(AA35="","",SUM(AA$5:AA35))</f>
        <v/>
      </c>
      <c r="AJ35" s="33" t="str">
        <f aca="false">IF(AI35="","",MAX(AI35,MAX(AJ$5:AJ34),0))</f>
        <v/>
      </c>
      <c r="AK35" s="33" t="str">
        <f aca="false">IF(AI35="","",AI35-AJ35)</f>
        <v/>
      </c>
      <c r="AL35" s="25" t="str">
        <f aca="false">IF(AA35="","",IF(AA35&lt;0,N(AL34)+1,0))</f>
        <v/>
      </c>
      <c r="AM35" s="37" t="str">
        <f aca="false">IF(B35="","",B35-WEEKDAY(B35,2)+1)</f>
        <v/>
      </c>
    </row>
    <row r="36" customFormat="false" ht="15" hidden="false" customHeight="false" outlineLevel="0" collapsed="false">
      <c r="A36" s="25" t="str">
        <f aca="false">IF(B36="","",ROW()-4)</f>
        <v/>
      </c>
      <c r="B36" s="26"/>
      <c r="C36" s="27" t="str">
        <f aca="false">IF(B36="","",CHOOSE(WEEKDAY(B36,2),"Lundi","Mardi","Mercredi","Jeudi","Vendredi","Samedi","Dimanche"))</f>
        <v/>
      </c>
      <c r="D36" s="28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5" t="str">
        <f aca="false">IF(B36="","",OR(AND(H36="Achat",I36="Haussier"),AND(H36="Vente",I36="Baissier"))*1+OR(AND(H36="Achat",J36="Discount"),AND(H36="Vente",J36="Premium"))*1+AND(K36&lt;&gt;"",K36&lt;&gt;"Aucune")*1+OR(L36="CHoCH",L36="BOS")*1+(M36="Oui")*1+OR(G36="Londres",G36="New York")*1+(O36="Non")*1)</f>
        <v/>
      </c>
      <c r="Q36" s="27" t="str">
        <f aca="false">IF(P36="","",IF(P36=7,"A+",IF(P36&gt;=5,"B","C")))</f>
        <v/>
      </c>
      <c r="R36" s="29"/>
      <c r="S36" s="29"/>
      <c r="T36" s="27" t="str">
        <f aca="false">IF(OR(R36="",S36=""),"",R36+(R36-S36)*Paramètres!$B$6)</f>
        <v/>
      </c>
      <c r="U36" s="29"/>
      <c r="V36" s="27" t="str">
        <f aca="false">IF(OR(R36="",S36=""),"",ABS(R36-S36))</f>
        <v/>
      </c>
      <c r="W36" s="30" t="str">
        <f aca="false">IF(OR(U36="",V36="",N(V36)=0),"",ABS(U36-R36)/V36)</f>
        <v/>
      </c>
      <c r="X36" s="31"/>
      <c r="Y36" s="29"/>
      <c r="Z36" s="32"/>
      <c r="AA36" s="33" t="str">
        <f aca="false">IF(Y36="","",IF(Y36="Stop",-1,IF(Y36="BE",0,IF(Y36="TP1 + BE",Paramètres!$B$7*Paramètres!$B$6,IF(Y36="TP1 (100 %)",Paramètres!$B$6,IF(Y36="TP2",Paramètres!$B$7*Paramètres!$B$6+(1-Paramètres!$B$7)*N(W36),IF(Y36="Sortie manuelle",N(Z36),"")))))))</f>
        <v/>
      </c>
      <c r="AB36" s="34" t="str">
        <f aca="false">IF(AA36="","",AA36*IF(X36="",Paramètres!$B$5,X36))</f>
        <v/>
      </c>
      <c r="AC36" s="35" t="str">
        <f aca="false">IF(AB36="","",Paramètres!$B$4*(1+SUM(AB$5:AB36)))</f>
        <v/>
      </c>
      <c r="AD36" s="29"/>
      <c r="AE36" s="29"/>
      <c r="AF36" s="29"/>
      <c r="AG36" s="36"/>
      <c r="AH36" s="36"/>
      <c r="AI36" s="33" t="str">
        <f aca="false">IF(AA36="","",SUM(AA$5:AA36))</f>
        <v/>
      </c>
      <c r="AJ36" s="33" t="str">
        <f aca="false">IF(AI36="","",MAX(AI36,MAX(AJ$5:AJ35),0))</f>
        <v/>
      </c>
      <c r="AK36" s="33" t="str">
        <f aca="false">IF(AI36="","",AI36-AJ36)</f>
        <v/>
      </c>
      <c r="AL36" s="25" t="str">
        <f aca="false">IF(AA36="","",IF(AA36&lt;0,N(AL35)+1,0))</f>
        <v/>
      </c>
      <c r="AM36" s="37" t="str">
        <f aca="false">IF(B36="","",B36-WEEKDAY(B36,2)+1)</f>
        <v/>
      </c>
    </row>
    <row r="37" customFormat="false" ht="15" hidden="false" customHeight="false" outlineLevel="0" collapsed="false">
      <c r="A37" s="25" t="str">
        <f aca="false">IF(B37="","",ROW()-4)</f>
        <v/>
      </c>
      <c r="B37" s="26"/>
      <c r="C37" s="27" t="str">
        <f aca="false">IF(B37="","",CHOOSE(WEEKDAY(B37,2),"Lundi","Mardi","Mercredi","Jeudi","Vendredi","Samedi","Dimanche"))</f>
        <v/>
      </c>
      <c r="D37" s="28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5" t="str">
        <f aca="false">IF(B37="","",OR(AND(H37="Achat",I37="Haussier"),AND(H37="Vente",I37="Baissier"))*1+OR(AND(H37="Achat",J37="Discount"),AND(H37="Vente",J37="Premium"))*1+AND(K37&lt;&gt;"",K37&lt;&gt;"Aucune")*1+OR(L37="CHoCH",L37="BOS")*1+(M37="Oui")*1+OR(G37="Londres",G37="New York")*1+(O37="Non")*1)</f>
        <v/>
      </c>
      <c r="Q37" s="27" t="str">
        <f aca="false">IF(P37="","",IF(P37=7,"A+",IF(P37&gt;=5,"B","C")))</f>
        <v/>
      </c>
      <c r="R37" s="29"/>
      <c r="S37" s="29"/>
      <c r="T37" s="27" t="str">
        <f aca="false">IF(OR(R37="",S37=""),"",R37+(R37-S37)*Paramètres!$B$6)</f>
        <v/>
      </c>
      <c r="U37" s="29"/>
      <c r="V37" s="27" t="str">
        <f aca="false">IF(OR(R37="",S37=""),"",ABS(R37-S37))</f>
        <v/>
      </c>
      <c r="W37" s="30" t="str">
        <f aca="false">IF(OR(U37="",V37="",N(V37)=0),"",ABS(U37-R37)/V37)</f>
        <v/>
      </c>
      <c r="X37" s="31"/>
      <c r="Y37" s="29"/>
      <c r="Z37" s="32"/>
      <c r="AA37" s="33" t="str">
        <f aca="false">IF(Y37="","",IF(Y37="Stop",-1,IF(Y37="BE",0,IF(Y37="TP1 + BE",Paramètres!$B$7*Paramètres!$B$6,IF(Y37="TP1 (100 %)",Paramètres!$B$6,IF(Y37="TP2",Paramètres!$B$7*Paramètres!$B$6+(1-Paramètres!$B$7)*N(W37),IF(Y37="Sortie manuelle",N(Z37),"")))))))</f>
        <v/>
      </c>
      <c r="AB37" s="34" t="str">
        <f aca="false">IF(AA37="","",AA37*IF(X37="",Paramètres!$B$5,X37))</f>
        <v/>
      </c>
      <c r="AC37" s="35" t="str">
        <f aca="false">IF(AB37="","",Paramètres!$B$4*(1+SUM(AB$5:AB37)))</f>
        <v/>
      </c>
      <c r="AD37" s="29"/>
      <c r="AE37" s="29"/>
      <c r="AF37" s="29"/>
      <c r="AG37" s="36"/>
      <c r="AH37" s="36"/>
      <c r="AI37" s="33" t="str">
        <f aca="false">IF(AA37="","",SUM(AA$5:AA37))</f>
        <v/>
      </c>
      <c r="AJ37" s="33" t="str">
        <f aca="false">IF(AI37="","",MAX(AI37,MAX(AJ$5:AJ36),0))</f>
        <v/>
      </c>
      <c r="AK37" s="33" t="str">
        <f aca="false">IF(AI37="","",AI37-AJ37)</f>
        <v/>
      </c>
      <c r="AL37" s="25" t="str">
        <f aca="false">IF(AA37="","",IF(AA37&lt;0,N(AL36)+1,0))</f>
        <v/>
      </c>
      <c r="AM37" s="37" t="str">
        <f aca="false">IF(B37="","",B37-WEEKDAY(B37,2)+1)</f>
        <v/>
      </c>
    </row>
    <row r="38" customFormat="false" ht="15" hidden="false" customHeight="false" outlineLevel="0" collapsed="false">
      <c r="A38" s="25" t="str">
        <f aca="false">IF(B38="","",ROW()-4)</f>
        <v/>
      </c>
      <c r="B38" s="26"/>
      <c r="C38" s="27" t="str">
        <f aca="false">IF(B38="","",CHOOSE(WEEKDAY(B38,2),"Lundi","Mardi","Mercredi","Jeudi","Vendredi","Samedi","Dimanche"))</f>
        <v/>
      </c>
      <c r="D38" s="28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5" t="str">
        <f aca="false">IF(B38="","",OR(AND(H38="Achat",I38="Haussier"),AND(H38="Vente",I38="Baissier"))*1+OR(AND(H38="Achat",J38="Discount"),AND(H38="Vente",J38="Premium"))*1+AND(K38&lt;&gt;"",K38&lt;&gt;"Aucune")*1+OR(L38="CHoCH",L38="BOS")*1+(M38="Oui")*1+OR(G38="Londres",G38="New York")*1+(O38="Non")*1)</f>
        <v/>
      </c>
      <c r="Q38" s="27" t="str">
        <f aca="false">IF(P38="","",IF(P38=7,"A+",IF(P38&gt;=5,"B","C")))</f>
        <v/>
      </c>
      <c r="R38" s="29"/>
      <c r="S38" s="29"/>
      <c r="T38" s="27" t="str">
        <f aca="false">IF(OR(R38="",S38=""),"",R38+(R38-S38)*Paramètres!$B$6)</f>
        <v/>
      </c>
      <c r="U38" s="29"/>
      <c r="V38" s="27" t="str">
        <f aca="false">IF(OR(R38="",S38=""),"",ABS(R38-S38))</f>
        <v/>
      </c>
      <c r="W38" s="30" t="str">
        <f aca="false">IF(OR(U38="",V38="",N(V38)=0),"",ABS(U38-R38)/V38)</f>
        <v/>
      </c>
      <c r="X38" s="31"/>
      <c r="Y38" s="29"/>
      <c r="Z38" s="32"/>
      <c r="AA38" s="33" t="str">
        <f aca="false">IF(Y38="","",IF(Y38="Stop",-1,IF(Y38="BE",0,IF(Y38="TP1 + BE",Paramètres!$B$7*Paramètres!$B$6,IF(Y38="TP1 (100 %)",Paramètres!$B$6,IF(Y38="TP2",Paramètres!$B$7*Paramètres!$B$6+(1-Paramètres!$B$7)*N(W38),IF(Y38="Sortie manuelle",N(Z38),"")))))))</f>
        <v/>
      </c>
      <c r="AB38" s="34" t="str">
        <f aca="false">IF(AA38="","",AA38*IF(X38="",Paramètres!$B$5,X38))</f>
        <v/>
      </c>
      <c r="AC38" s="35" t="str">
        <f aca="false">IF(AB38="","",Paramètres!$B$4*(1+SUM(AB$5:AB38)))</f>
        <v/>
      </c>
      <c r="AD38" s="29"/>
      <c r="AE38" s="29"/>
      <c r="AF38" s="29"/>
      <c r="AG38" s="36"/>
      <c r="AH38" s="36"/>
      <c r="AI38" s="33" t="str">
        <f aca="false">IF(AA38="","",SUM(AA$5:AA38))</f>
        <v/>
      </c>
      <c r="AJ38" s="33" t="str">
        <f aca="false">IF(AI38="","",MAX(AI38,MAX(AJ$5:AJ37),0))</f>
        <v/>
      </c>
      <c r="AK38" s="33" t="str">
        <f aca="false">IF(AI38="","",AI38-AJ38)</f>
        <v/>
      </c>
      <c r="AL38" s="25" t="str">
        <f aca="false">IF(AA38="","",IF(AA38&lt;0,N(AL37)+1,0))</f>
        <v/>
      </c>
      <c r="AM38" s="37" t="str">
        <f aca="false">IF(B38="","",B38-WEEKDAY(B38,2)+1)</f>
        <v/>
      </c>
    </row>
    <row r="39" customFormat="false" ht="15" hidden="false" customHeight="false" outlineLevel="0" collapsed="false">
      <c r="A39" s="25" t="str">
        <f aca="false">IF(B39="","",ROW()-4)</f>
        <v/>
      </c>
      <c r="B39" s="26"/>
      <c r="C39" s="27" t="str">
        <f aca="false">IF(B39="","",CHOOSE(WEEKDAY(B39,2),"Lundi","Mardi","Mercredi","Jeudi","Vendredi","Samedi","Dimanche"))</f>
        <v/>
      </c>
      <c r="D39" s="28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5" t="str">
        <f aca="false">IF(B39="","",OR(AND(H39="Achat",I39="Haussier"),AND(H39="Vente",I39="Baissier"))*1+OR(AND(H39="Achat",J39="Discount"),AND(H39="Vente",J39="Premium"))*1+AND(K39&lt;&gt;"",K39&lt;&gt;"Aucune")*1+OR(L39="CHoCH",L39="BOS")*1+(M39="Oui")*1+OR(G39="Londres",G39="New York")*1+(O39="Non")*1)</f>
        <v/>
      </c>
      <c r="Q39" s="27" t="str">
        <f aca="false">IF(P39="","",IF(P39=7,"A+",IF(P39&gt;=5,"B","C")))</f>
        <v/>
      </c>
      <c r="R39" s="29"/>
      <c r="S39" s="29"/>
      <c r="T39" s="27" t="str">
        <f aca="false">IF(OR(R39="",S39=""),"",R39+(R39-S39)*Paramètres!$B$6)</f>
        <v/>
      </c>
      <c r="U39" s="29"/>
      <c r="V39" s="27" t="str">
        <f aca="false">IF(OR(R39="",S39=""),"",ABS(R39-S39))</f>
        <v/>
      </c>
      <c r="W39" s="30" t="str">
        <f aca="false">IF(OR(U39="",V39="",N(V39)=0),"",ABS(U39-R39)/V39)</f>
        <v/>
      </c>
      <c r="X39" s="31"/>
      <c r="Y39" s="29"/>
      <c r="Z39" s="32"/>
      <c r="AA39" s="33" t="str">
        <f aca="false">IF(Y39="","",IF(Y39="Stop",-1,IF(Y39="BE",0,IF(Y39="TP1 + BE",Paramètres!$B$7*Paramètres!$B$6,IF(Y39="TP1 (100 %)",Paramètres!$B$6,IF(Y39="TP2",Paramètres!$B$7*Paramètres!$B$6+(1-Paramètres!$B$7)*N(W39),IF(Y39="Sortie manuelle",N(Z39),"")))))))</f>
        <v/>
      </c>
      <c r="AB39" s="34" t="str">
        <f aca="false">IF(AA39="","",AA39*IF(X39="",Paramètres!$B$5,X39))</f>
        <v/>
      </c>
      <c r="AC39" s="35" t="str">
        <f aca="false">IF(AB39="","",Paramètres!$B$4*(1+SUM(AB$5:AB39)))</f>
        <v/>
      </c>
      <c r="AD39" s="29"/>
      <c r="AE39" s="29"/>
      <c r="AF39" s="29"/>
      <c r="AG39" s="36"/>
      <c r="AH39" s="36"/>
      <c r="AI39" s="33" t="str">
        <f aca="false">IF(AA39="","",SUM(AA$5:AA39))</f>
        <v/>
      </c>
      <c r="AJ39" s="33" t="str">
        <f aca="false">IF(AI39="","",MAX(AI39,MAX(AJ$5:AJ38),0))</f>
        <v/>
      </c>
      <c r="AK39" s="33" t="str">
        <f aca="false">IF(AI39="","",AI39-AJ39)</f>
        <v/>
      </c>
      <c r="AL39" s="25" t="str">
        <f aca="false">IF(AA39="","",IF(AA39&lt;0,N(AL38)+1,0))</f>
        <v/>
      </c>
      <c r="AM39" s="37" t="str">
        <f aca="false">IF(B39="","",B39-WEEKDAY(B39,2)+1)</f>
        <v/>
      </c>
    </row>
    <row r="40" customFormat="false" ht="15" hidden="false" customHeight="false" outlineLevel="0" collapsed="false">
      <c r="A40" s="25" t="str">
        <f aca="false">IF(B40="","",ROW()-4)</f>
        <v/>
      </c>
      <c r="B40" s="26"/>
      <c r="C40" s="27" t="str">
        <f aca="false">IF(B40="","",CHOOSE(WEEKDAY(B40,2),"Lundi","Mardi","Mercredi","Jeudi","Vendredi","Samedi","Dimanche"))</f>
        <v/>
      </c>
      <c r="D40" s="28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5" t="str">
        <f aca="false">IF(B40="","",OR(AND(H40="Achat",I40="Haussier"),AND(H40="Vente",I40="Baissier"))*1+OR(AND(H40="Achat",J40="Discount"),AND(H40="Vente",J40="Premium"))*1+AND(K40&lt;&gt;"",K40&lt;&gt;"Aucune")*1+OR(L40="CHoCH",L40="BOS")*1+(M40="Oui")*1+OR(G40="Londres",G40="New York")*1+(O40="Non")*1)</f>
        <v/>
      </c>
      <c r="Q40" s="27" t="str">
        <f aca="false">IF(P40="","",IF(P40=7,"A+",IF(P40&gt;=5,"B","C")))</f>
        <v/>
      </c>
      <c r="R40" s="29"/>
      <c r="S40" s="29"/>
      <c r="T40" s="27" t="str">
        <f aca="false">IF(OR(R40="",S40=""),"",R40+(R40-S40)*Paramètres!$B$6)</f>
        <v/>
      </c>
      <c r="U40" s="29"/>
      <c r="V40" s="27" t="str">
        <f aca="false">IF(OR(R40="",S40=""),"",ABS(R40-S40))</f>
        <v/>
      </c>
      <c r="W40" s="30" t="str">
        <f aca="false">IF(OR(U40="",V40="",N(V40)=0),"",ABS(U40-R40)/V40)</f>
        <v/>
      </c>
      <c r="X40" s="31"/>
      <c r="Y40" s="29"/>
      <c r="Z40" s="32"/>
      <c r="AA40" s="33" t="str">
        <f aca="false">IF(Y40="","",IF(Y40="Stop",-1,IF(Y40="BE",0,IF(Y40="TP1 + BE",Paramètres!$B$7*Paramètres!$B$6,IF(Y40="TP1 (100 %)",Paramètres!$B$6,IF(Y40="TP2",Paramètres!$B$7*Paramètres!$B$6+(1-Paramètres!$B$7)*N(W40),IF(Y40="Sortie manuelle",N(Z40),"")))))))</f>
        <v/>
      </c>
      <c r="AB40" s="34" t="str">
        <f aca="false">IF(AA40="","",AA40*IF(X40="",Paramètres!$B$5,X40))</f>
        <v/>
      </c>
      <c r="AC40" s="35" t="str">
        <f aca="false">IF(AB40="","",Paramètres!$B$4*(1+SUM(AB$5:AB40)))</f>
        <v/>
      </c>
      <c r="AD40" s="29"/>
      <c r="AE40" s="29"/>
      <c r="AF40" s="29"/>
      <c r="AG40" s="36"/>
      <c r="AH40" s="36"/>
      <c r="AI40" s="33" t="str">
        <f aca="false">IF(AA40="","",SUM(AA$5:AA40))</f>
        <v/>
      </c>
      <c r="AJ40" s="33" t="str">
        <f aca="false">IF(AI40="","",MAX(AI40,MAX(AJ$5:AJ39),0))</f>
        <v/>
      </c>
      <c r="AK40" s="33" t="str">
        <f aca="false">IF(AI40="","",AI40-AJ40)</f>
        <v/>
      </c>
      <c r="AL40" s="25" t="str">
        <f aca="false">IF(AA40="","",IF(AA40&lt;0,N(AL39)+1,0))</f>
        <v/>
      </c>
      <c r="AM40" s="37" t="str">
        <f aca="false">IF(B40="","",B40-WEEKDAY(B40,2)+1)</f>
        <v/>
      </c>
    </row>
    <row r="41" customFormat="false" ht="15" hidden="false" customHeight="false" outlineLevel="0" collapsed="false">
      <c r="A41" s="25" t="str">
        <f aca="false">IF(B41="","",ROW()-4)</f>
        <v/>
      </c>
      <c r="B41" s="26"/>
      <c r="C41" s="27" t="str">
        <f aca="false">IF(B41="","",CHOOSE(WEEKDAY(B41,2),"Lundi","Mardi","Mercredi","Jeudi","Vendredi","Samedi","Dimanche"))</f>
        <v/>
      </c>
      <c r="D41" s="28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5" t="str">
        <f aca="false">IF(B41="","",OR(AND(H41="Achat",I41="Haussier"),AND(H41="Vente",I41="Baissier"))*1+OR(AND(H41="Achat",J41="Discount"),AND(H41="Vente",J41="Premium"))*1+AND(K41&lt;&gt;"",K41&lt;&gt;"Aucune")*1+OR(L41="CHoCH",L41="BOS")*1+(M41="Oui")*1+OR(G41="Londres",G41="New York")*1+(O41="Non")*1)</f>
        <v/>
      </c>
      <c r="Q41" s="27" t="str">
        <f aca="false">IF(P41="","",IF(P41=7,"A+",IF(P41&gt;=5,"B","C")))</f>
        <v/>
      </c>
      <c r="R41" s="29"/>
      <c r="S41" s="29"/>
      <c r="T41" s="27" t="str">
        <f aca="false">IF(OR(R41="",S41=""),"",R41+(R41-S41)*Paramètres!$B$6)</f>
        <v/>
      </c>
      <c r="U41" s="29"/>
      <c r="V41" s="27" t="str">
        <f aca="false">IF(OR(R41="",S41=""),"",ABS(R41-S41))</f>
        <v/>
      </c>
      <c r="W41" s="30" t="str">
        <f aca="false">IF(OR(U41="",V41="",N(V41)=0),"",ABS(U41-R41)/V41)</f>
        <v/>
      </c>
      <c r="X41" s="31"/>
      <c r="Y41" s="29"/>
      <c r="Z41" s="32"/>
      <c r="AA41" s="33" t="str">
        <f aca="false">IF(Y41="","",IF(Y41="Stop",-1,IF(Y41="BE",0,IF(Y41="TP1 + BE",Paramètres!$B$7*Paramètres!$B$6,IF(Y41="TP1 (100 %)",Paramètres!$B$6,IF(Y41="TP2",Paramètres!$B$7*Paramètres!$B$6+(1-Paramètres!$B$7)*N(W41),IF(Y41="Sortie manuelle",N(Z41),"")))))))</f>
        <v/>
      </c>
      <c r="AB41" s="34" t="str">
        <f aca="false">IF(AA41="","",AA41*IF(X41="",Paramètres!$B$5,X41))</f>
        <v/>
      </c>
      <c r="AC41" s="35" t="str">
        <f aca="false">IF(AB41="","",Paramètres!$B$4*(1+SUM(AB$5:AB41)))</f>
        <v/>
      </c>
      <c r="AD41" s="29"/>
      <c r="AE41" s="29"/>
      <c r="AF41" s="29"/>
      <c r="AG41" s="36"/>
      <c r="AH41" s="36"/>
      <c r="AI41" s="33" t="str">
        <f aca="false">IF(AA41="","",SUM(AA$5:AA41))</f>
        <v/>
      </c>
      <c r="AJ41" s="33" t="str">
        <f aca="false">IF(AI41="","",MAX(AI41,MAX(AJ$5:AJ40),0))</f>
        <v/>
      </c>
      <c r="AK41" s="33" t="str">
        <f aca="false">IF(AI41="","",AI41-AJ41)</f>
        <v/>
      </c>
      <c r="AL41" s="25" t="str">
        <f aca="false">IF(AA41="","",IF(AA41&lt;0,N(AL40)+1,0))</f>
        <v/>
      </c>
      <c r="AM41" s="37" t="str">
        <f aca="false">IF(B41="","",B41-WEEKDAY(B41,2)+1)</f>
        <v/>
      </c>
    </row>
    <row r="42" customFormat="false" ht="15" hidden="false" customHeight="false" outlineLevel="0" collapsed="false">
      <c r="A42" s="25" t="str">
        <f aca="false">IF(B42="","",ROW()-4)</f>
        <v/>
      </c>
      <c r="B42" s="26"/>
      <c r="C42" s="27" t="str">
        <f aca="false">IF(B42="","",CHOOSE(WEEKDAY(B42,2),"Lundi","Mardi","Mercredi","Jeudi","Vendredi","Samedi","Dimanche"))</f>
        <v/>
      </c>
      <c r="D42" s="28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5" t="str">
        <f aca="false">IF(B42="","",OR(AND(H42="Achat",I42="Haussier"),AND(H42="Vente",I42="Baissier"))*1+OR(AND(H42="Achat",J42="Discount"),AND(H42="Vente",J42="Premium"))*1+AND(K42&lt;&gt;"",K42&lt;&gt;"Aucune")*1+OR(L42="CHoCH",L42="BOS")*1+(M42="Oui")*1+OR(G42="Londres",G42="New York")*1+(O42="Non")*1)</f>
        <v/>
      </c>
      <c r="Q42" s="27" t="str">
        <f aca="false">IF(P42="","",IF(P42=7,"A+",IF(P42&gt;=5,"B","C")))</f>
        <v/>
      </c>
      <c r="R42" s="29"/>
      <c r="S42" s="29"/>
      <c r="T42" s="27" t="str">
        <f aca="false">IF(OR(R42="",S42=""),"",R42+(R42-S42)*Paramètres!$B$6)</f>
        <v/>
      </c>
      <c r="U42" s="29"/>
      <c r="V42" s="27" t="str">
        <f aca="false">IF(OR(R42="",S42=""),"",ABS(R42-S42))</f>
        <v/>
      </c>
      <c r="W42" s="30" t="str">
        <f aca="false">IF(OR(U42="",V42="",N(V42)=0),"",ABS(U42-R42)/V42)</f>
        <v/>
      </c>
      <c r="X42" s="31"/>
      <c r="Y42" s="29"/>
      <c r="Z42" s="32"/>
      <c r="AA42" s="33" t="str">
        <f aca="false">IF(Y42="","",IF(Y42="Stop",-1,IF(Y42="BE",0,IF(Y42="TP1 + BE",Paramètres!$B$7*Paramètres!$B$6,IF(Y42="TP1 (100 %)",Paramètres!$B$6,IF(Y42="TP2",Paramètres!$B$7*Paramètres!$B$6+(1-Paramètres!$B$7)*N(W42),IF(Y42="Sortie manuelle",N(Z42),"")))))))</f>
        <v/>
      </c>
      <c r="AB42" s="34" t="str">
        <f aca="false">IF(AA42="","",AA42*IF(X42="",Paramètres!$B$5,X42))</f>
        <v/>
      </c>
      <c r="AC42" s="35" t="str">
        <f aca="false">IF(AB42="","",Paramètres!$B$4*(1+SUM(AB$5:AB42)))</f>
        <v/>
      </c>
      <c r="AD42" s="29"/>
      <c r="AE42" s="29"/>
      <c r="AF42" s="29"/>
      <c r="AG42" s="36"/>
      <c r="AH42" s="36"/>
      <c r="AI42" s="33" t="str">
        <f aca="false">IF(AA42="","",SUM(AA$5:AA42))</f>
        <v/>
      </c>
      <c r="AJ42" s="33" t="str">
        <f aca="false">IF(AI42="","",MAX(AI42,MAX(AJ$5:AJ41),0))</f>
        <v/>
      </c>
      <c r="AK42" s="33" t="str">
        <f aca="false">IF(AI42="","",AI42-AJ42)</f>
        <v/>
      </c>
      <c r="AL42" s="25" t="str">
        <f aca="false">IF(AA42="","",IF(AA42&lt;0,N(AL41)+1,0))</f>
        <v/>
      </c>
      <c r="AM42" s="37" t="str">
        <f aca="false">IF(B42="","",B42-WEEKDAY(B42,2)+1)</f>
        <v/>
      </c>
    </row>
    <row r="43" customFormat="false" ht="15" hidden="false" customHeight="false" outlineLevel="0" collapsed="false">
      <c r="A43" s="25" t="str">
        <f aca="false">IF(B43="","",ROW()-4)</f>
        <v/>
      </c>
      <c r="B43" s="26"/>
      <c r="C43" s="27" t="str">
        <f aca="false">IF(B43="","",CHOOSE(WEEKDAY(B43,2),"Lundi","Mardi","Mercredi","Jeudi","Vendredi","Samedi","Dimanche"))</f>
        <v/>
      </c>
      <c r="D43" s="28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5" t="str">
        <f aca="false">IF(B43="","",OR(AND(H43="Achat",I43="Haussier"),AND(H43="Vente",I43="Baissier"))*1+OR(AND(H43="Achat",J43="Discount"),AND(H43="Vente",J43="Premium"))*1+AND(K43&lt;&gt;"",K43&lt;&gt;"Aucune")*1+OR(L43="CHoCH",L43="BOS")*1+(M43="Oui")*1+OR(G43="Londres",G43="New York")*1+(O43="Non")*1)</f>
        <v/>
      </c>
      <c r="Q43" s="27" t="str">
        <f aca="false">IF(P43="","",IF(P43=7,"A+",IF(P43&gt;=5,"B","C")))</f>
        <v/>
      </c>
      <c r="R43" s="29"/>
      <c r="S43" s="29"/>
      <c r="T43" s="27" t="str">
        <f aca="false">IF(OR(R43="",S43=""),"",R43+(R43-S43)*Paramètres!$B$6)</f>
        <v/>
      </c>
      <c r="U43" s="29"/>
      <c r="V43" s="27" t="str">
        <f aca="false">IF(OR(R43="",S43=""),"",ABS(R43-S43))</f>
        <v/>
      </c>
      <c r="W43" s="30" t="str">
        <f aca="false">IF(OR(U43="",V43="",N(V43)=0),"",ABS(U43-R43)/V43)</f>
        <v/>
      </c>
      <c r="X43" s="31"/>
      <c r="Y43" s="29"/>
      <c r="Z43" s="32"/>
      <c r="AA43" s="33" t="str">
        <f aca="false">IF(Y43="","",IF(Y43="Stop",-1,IF(Y43="BE",0,IF(Y43="TP1 + BE",Paramètres!$B$7*Paramètres!$B$6,IF(Y43="TP1 (100 %)",Paramètres!$B$6,IF(Y43="TP2",Paramètres!$B$7*Paramètres!$B$6+(1-Paramètres!$B$7)*N(W43),IF(Y43="Sortie manuelle",N(Z43),"")))))))</f>
        <v/>
      </c>
      <c r="AB43" s="34" t="str">
        <f aca="false">IF(AA43="","",AA43*IF(X43="",Paramètres!$B$5,X43))</f>
        <v/>
      </c>
      <c r="AC43" s="35" t="str">
        <f aca="false">IF(AB43="","",Paramètres!$B$4*(1+SUM(AB$5:AB43)))</f>
        <v/>
      </c>
      <c r="AD43" s="29"/>
      <c r="AE43" s="29"/>
      <c r="AF43" s="29"/>
      <c r="AG43" s="36"/>
      <c r="AH43" s="36"/>
      <c r="AI43" s="33" t="str">
        <f aca="false">IF(AA43="","",SUM(AA$5:AA43))</f>
        <v/>
      </c>
      <c r="AJ43" s="33" t="str">
        <f aca="false">IF(AI43="","",MAX(AI43,MAX(AJ$5:AJ42),0))</f>
        <v/>
      </c>
      <c r="AK43" s="33" t="str">
        <f aca="false">IF(AI43="","",AI43-AJ43)</f>
        <v/>
      </c>
      <c r="AL43" s="25" t="str">
        <f aca="false">IF(AA43="","",IF(AA43&lt;0,N(AL42)+1,0))</f>
        <v/>
      </c>
      <c r="AM43" s="37" t="str">
        <f aca="false">IF(B43="","",B43-WEEKDAY(B43,2)+1)</f>
        <v/>
      </c>
    </row>
    <row r="44" customFormat="false" ht="15" hidden="false" customHeight="false" outlineLevel="0" collapsed="false">
      <c r="A44" s="25" t="str">
        <f aca="false">IF(B44="","",ROW()-4)</f>
        <v/>
      </c>
      <c r="B44" s="26"/>
      <c r="C44" s="27" t="str">
        <f aca="false">IF(B44="","",CHOOSE(WEEKDAY(B44,2),"Lundi","Mardi","Mercredi","Jeudi","Vendredi","Samedi","Dimanche"))</f>
        <v/>
      </c>
      <c r="D44" s="28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5" t="str">
        <f aca="false">IF(B44="","",OR(AND(H44="Achat",I44="Haussier"),AND(H44="Vente",I44="Baissier"))*1+OR(AND(H44="Achat",J44="Discount"),AND(H44="Vente",J44="Premium"))*1+AND(K44&lt;&gt;"",K44&lt;&gt;"Aucune")*1+OR(L44="CHoCH",L44="BOS")*1+(M44="Oui")*1+OR(G44="Londres",G44="New York")*1+(O44="Non")*1)</f>
        <v/>
      </c>
      <c r="Q44" s="27" t="str">
        <f aca="false">IF(P44="","",IF(P44=7,"A+",IF(P44&gt;=5,"B","C")))</f>
        <v/>
      </c>
      <c r="R44" s="29"/>
      <c r="S44" s="29"/>
      <c r="T44" s="27" t="str">
        <f aca="false">IF(OR(R44="",S44=""),"",R44+(R44-S44)*Paramètres!$B$6)</f>
        <v/>
      </c>
      <c r="U44" s="29"/>
      <c r="V44" s="27" t="str">
        <f aca="false">IF(OR(R44="",S44=""),"",ABS(R44-S44))</f>
        <v/>
      </c>
      <c r="W44" s="30" t="str">
        <f aca="false">IF(OR(U44="",V44="",N(V44)=0),"",ABS(U44-R44)/V44)</f>
        <v/>
      </c>
      <c r="X44" s="31"/>
      <c r="Y44" s="29"/>
      <c r="Z44" s="32"/>
      <c r="AA44" s="33" t="str">
        <f aca="false">IF(Y44="","",IF(Y44="Stop",-1,IF(Y44="BE",0,IF(Y44="TP1 + BE",Paramètres!$B$7*Paramètres!$B$6,IF(Y44="TP1 (100 %)",Paramètres!$B$6,IF(Y44="TP2",Paramètres!$B$7*Paramètres!$B$6+(1-Paramètres!$B$7)*N(W44),IF(Y44="Sortie manuelle",N(Z44),"")))))))</f>
        <v/>
      </c>
      <c r="AB44" s="34" t="str">
        <f aca="false">IF(AA44="","",AA44*IF(X44="",Paramètres!$B$5,X44))</f>
        <v/>
      </c>
      <c r="AC44" s="35" t="str">
        <f aca="false">IF(AB44="","",Paramètres!$B$4*(1+SUM(AB$5:AB44)))</f>
        <v/>
      </c>
      <c r="AD44" s="29"/>
      <c r="AE44" s="29"/>
      <c r="AF44" s="29"/>
      <c r="AG44" s="36"/>
      <c r="AH44" s="36"/>
      <c r="AI44" s="33" t="str">
        <f aca="false">IF(AA44="","",SUM(AA$5:AA44))</f>
        <v/>
      </c>
      <c r="AJ44" s="33" t="str">
        <f aca="false">IF(AI44="","",MAX(AI44,MAX(AJ$5:AJ43),0))</f>
        <v/>
      </c>
      <c r="AK44" s="33" t="str">
        <f aca="false">IF(AI44="","",AI44-AJ44)</f>
        <v/>
      </c>
      <c r="AL44" s="25" t="str">
        <f aca="false">IF(AA44="","",IF(AA44&lt;0,N(AL43)+1,0))</f>
        <v/>
      </c>
      <c r="AM44" s="37" t="str">
        <f aca="false">IF(B44="","",B44-WEEKDAY(B44,2)+1)</f>
        <v/>
      </c>
    </row>
    <row r="45" customFormat="false" ht="15" hidden="false" customHeight="false" outlineLevel="0" collapsed="false">
      <c r="A45" s="25" t="str">
        <f aca="false">IF(B45="","",ROW()-4)</f>
        <v/>
      </c>
      <c r="B45" s="26"/>
      <c r="C45" s="27" t="str">
        <f aca="false">IF(B45="","",CHOOSE(WEEKDAY(B45,2),"Lundi","Mardi","Mercredi","Jeudi","Vendredi","Samedi","Dimanche"))</f>
        <v/>
      </c>
      <c r="D45" s="28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5" t="str">
        <f aca="false">IF(B45="","",OR(AND(H45="Achat",I45="Haussier"),AND(H45="Vente",I45="Baissier"))*1+OR(AND(H45="Achat",J45="Discount"),AND(H45="Vente",J45="Premium"))*1+AND(K45&lt;&gt;"",K45&lt;&gt;"Aucune")*1+OR(L45="CHoCH",L45="BOS")*1+(M45="Oui")*1+OR(G45="Londres",G45="New York")*1+(O45="Non")*1)</f>
        <v/>
      </c>
      <c r="Q45" s="27" t="str">
        <f aca="false">IF(P45="","",IF(P45=7,"A+",IF(P45&gt;=5,"B","C")))</f>
        <v/>
      </c>
      <c r="R45" s="29"/>
      <c r="S45" s="29"/>
      <c r="T45" s="27" t="str">
        <f aca="false">IF(OR(R45="",S45=""),"",R45+(R45-S45)*Paramètres!$B$6)</f>
        <v/>
      </c>
      <c r="U45" s="29"/>
      <c r="V45" s="27" t="str">
        <f aca="false">IF(OR(R45="",S45=""),"",ABS(R45-S45))</f>
        <v/>
      </c>
      <c r="W45" s="30" t="str">
        <f aca="false">IF(OR(U45="",V45="",N(V45)=0),"",ABS(U45-R45)/V45)</f>
        <v/>
      </c>
      <c r="X45" s="31"/>
      <c r="Y45" s="29"/>
      <c r="Z45" s="32"/>
      <c r="AA45" s="33" t="str">
        <f aca="false">IF(Y45="","",IF(Y45="Stop",-1,IF(Y45="BE",0,IF(Y45="TP1 + BE",Paramètres!$B$7*Paramètres!$B$6,IF(Y45="TP1 (100 %)",Paramètres!$B$6,IF(Y45="TP2",Paramètres!$B$7*Paramètres!$B$6+(1-Paramètres!$B$7)*N(W45),IF(Y45="Sortie manuelle",N(Z45),"")))))))</f>
        <v/>
      </c>
      <c r="AB45" s="34" t="str">
        <f aca="false">IF(AA45="","",AA45*IF(X45="",Paramètres!$B$5,X45))</f>
        <v/>
      </c>
      <c r="AC45" s="35" t="str">
        <f aca="false">IF(AB45="","",Paramètres!$B$4*(1+SUM(AB$5:AB45)))</f>
        <v/>
      </c>
      <c r="AD45" s="29"/>
      <c r="AE45" s="29"/>
      <c r="AF45" s="29"/>
      <c r="AG45" s="36"/>
      <c r="AH45" s="36"/>
      <c r="AI45" s="33" t="str">
        <f aca="false">IF(AA45="","",SUM(AA$5:AA45))</f>
        <v/>
      </c>
      <c r="AJ45" s="33" t="str">
        <f aca="false">IF(AI45="","",MAX(AI45,MAX(AJ$5:AJ44),0))</f>
        <v/>
      </c>
      <c r="AK45" s="33" t="str">
        <f aca="false">IF(AI45="","",AI45-AJ45)</f>
        <v/>
      </c>
      <c r="AL45" s="25" t="str">
        <f aca="false">IF(AA45="","",IF(AA45&lt;0,N(AL44)+1,0))</f>
        <v/>
      </c>
      <c r="AM45" s="37" t="str">
        <f aca="false">IF(B45="","",B45-WEEKDAY(B45,2)+1)</f>
        <v/>
      </c>
    </row>
    <row r="46" customFormat="false" ht="15" hidden="false" customHeight="false" outlineLevel="0" collapsed="false">
      <c r="A46" s="25" t="str">
        <f aca="false">IF(B46="","",ROW()-4)</f>
        <v/>
      </c>
      <c r="B46" s="26"/>
      <c r="C46" s="27" t="str">
        <f aca="false">IF(B46="","",CHOOSE(WEEKDAY(B46,2),"Lundi","Mardi","Mercredi","Jeudi","Vendredi","Samedi","Dimanche"))</f>
        <v/>
      </c>
      <c r="D46" s="28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5" t="str">
        <f aca="false">IF(B46="","",OR(AND(H46="Achat",I46="Haussier"),AND(H46="Vente",I46="Baissier"))*1+OR(AND(H46="Achat",J46="Discount"),AND(H46="Vente",J46="Premium"))*1+AND(K46&lt;&gt;"",K46&lt;&gt;"Aucune")*1+OR(L46="CHoCH",L46="BOS")*1+(M46="Oui")*1+OR(G46="Londres",G46="New York")*1+(O46="Non")*1)</f>
        <v/>
      </c>
      <c r="Q46" s="27" t="str">
        <f aca="false">IF(P46="","",IF(P46=7,"A+",IF(P46&gt;=5,"B","C")))</f>
        <v/>
      </c>
      <c r="R46" s="29"/>
      <c r="S46" s="29"/>
      <c r="T46" s="27" t="str">
        <f aca="false">IF(OR(R46="",S46=""),"",R46+(R46-S46)*Paramètres!$B$6)</f>
        <v/>
      </c>
      <c r="U46" s="29"/>
      <c r="V46" s="27" t="str">
        <f aca="false">IF(OR(R46="",S46=""),"",ABS(R46-S46))</f>
        <v/>
      </c>
      <c r="W46" s="30" t="str">
        <f aca="false">IF(OR(U46="",V46="",N(V46)=0),"",ABS(U46-R46)/V46)</f>
        <v/>
      </c>
      <c r="X46" s="31"/>
      <c r="Y46" s="29"/>
      <c r="Z46" s="32"/>
      <c r="AA46" s="33" t="str">
        <f aca="false">IF(Y46="","",IF(Y46="Stop",-1,IF(Y46="BE",0,IF(Y46="TP1 + BE",Paramètres!$B$7*Paramètres!$B$6,IF(Y46="TP1 (100 %)",Paramètres!$B$6,IF(Y46="TP2",Paramètres!$B$7*Paramètres!$B$6+(1-Paramètres!$B$7)*N(W46),IF(Y46="Sortie manuelle",N(Z46),"")))))))</f>
        <v/>
      </c>
      <c r="AB46" s="34" t="str">
        <f aca="false">IF(AA46="","",AA46*IF(X46="",Paramètres!$B$5,X46))</f>
        <v/>
      </c>
      <c r="AC46" s="35" t="str">
        <f aca="false">IF(AB46="","",Paramètres!$B$4*(1+SUM(AB$5:AB46)))</f>
        <v/>
      </c>
      <c r="AD46" s="29"/>
      <c r="AE46" s="29"/>
      <c r="AF46" s="29"/>
      <c r="AG46" s="36"/>
      <c r="AH46" s="36"/>
      <c r="AI46" s="33" t="str">
        <f aca="false">IF(AA46="","",SUM(AA$5:AA46))</f>
        <v/>
      </c>
      <c r="AJ46" s="33" t="str">
        <f aca="false">IF(AI46="","",MAX(AI46,MAX(AJ$5:AJ45),0))</f>
        <v/>
      </c>
      <c r="AK46" s="33" t="str">
        <f aca="false">IF(AI46="","",AI46-AJ46)</f>
        <v/>
      </c>
      <c r="AL46" s="25" t="str">
        <f aca="false">IF(AA46="","",IF(AA46&lt;0,N(AL45)+1,0))</f>
        <v/>
      </c>
      <c r="AM46" s="37" t="str">
        <f aca="false">IF(B46="","",B46-WEEKDAY(B46,2)+1)</f>
        <v/>
      </c>
    </row>
    <row r="47" customFormat="false" ht="15" hidden="false" customHeight="false" outlineLevel="0" collapsed="false">
      <c r="A47" s="25" t="str">
        <f aca="false">IF(B47="","",ROW()-4)</f>
        <v/>
      </c>
      <c r="B47" s="26"/>
      <c r="C47" s="27" t="str">
        <f aca="false">IF(B47="","",CHOOSE(WEEKDAY(B47,2),"Lundi","Mardi","Mercredi","Jeudi","Vendredi","Samedi","Dimanche"))</f>
        <v/>
      </c>
      <c r="D47" s="28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5" t="str">
        <f aca="false">IF(B47="","",OR(AND(H47="Achat",I47="Haussier"),AND(H47="Vente",I47="Baissier"))*1+OR(AND(H47="Achat",J47="Discount"),AND(H47="Vente",J47="Premium"))*1+AND(K47&lt;&gt;"",K47&lt;&gt;"Aucune")*1+OR(L47="CHoCH",L47="BOS")*1+(M47="Oui")*1+OR(G47="Londres",G47="New York")*1+(O47="Non")*1)</f>
        <v/>
      </c>
      <c r="Q47" s="27" t="str">
        <f aca="false">IF(P47="","",IF(P47=7,"A+",IF(P47&gt;=5,"B","C")))</f>
        <v/>
      </c>
      <c r="R47" s="29"/>
      <c r="S47" s="29"/>
      <c r="T47" s="27" t="str">
        <f aca="false">IF(OR(R47="",S47=""),"",R47+(R47-S47)*Paramètres!$B$6)</f>
        <v/>
      </c>
      <c r="U47" s="29"/>
      <c r="V47" s="27" t="str">
        <f aca="false">IF(OR(R47="",S47=""),"",ABS(R47-S47))</f>
        <v/>
      </c>
      <c r="W47" s="30" t="str">
        <f aca="false">IF(OR(U47="",V47="",N(V47)=0),"",ABS(U47-R47)/V47)</f>
        <v/>
      </c>
      <c r="X47" s="31"/>
      <c r="Y47" s="29"/>
      <c r="Z47" s="32"/>
      <c r="AA47" s="33" t="str">
        <f aca="false">IF(Y47="","",IF(Y47="Stop",-1,IF(Y47="BE",0,IF(Y47="TP1 + BE",Paramètres!$B$7*Paramètres!$B$6,IF(Y47="TP1 (100 %)",Paramètres!$B$6,IF(Y47="TP2",Paramètres!$B$7*Paramètres!$B$6+(1-Paramètres!$B$7)*N(W47),IF(Y47="Sortie manuelle",N(Z47),"")))))))</f>
        <v/>
      </c>
      <c r="AB47" s="34" t="str">
        <f aca="false">IF(AA47="","",AA47*IF(X47="",Paramètres!$B$5,X47))</f>
        <v/>
      </c>
      <c r="AC47" s="35" t="str">
        <f aca="false">IF(AB47="","",Paramètres!$B$4*(1+SUM(AB$5:AB47)))</f>
        <v/>
      </c>
      <c r="AD47" s="29"/>
      <c r="AE47" s="29"/>
      <c r="AF47" s="29"/>
      <c r="AG47" s="36"/>
      <c r="AH47" s="36"/>
      <c r="AI47" s="33" t="str">
        <f aca="false">IF(AA47="","",SUM(AA$5:AA47))</f>
        <v/>
      </c>
      <c r="AJ47" s="33" t="str">
        <f aca="false">IF(AI47="","",MAX(AI47,MAX(AJ$5:AJ46),0))</f>
        <v/>
      </c>
      <c r="AK47" s="33" t="str">
        <f aca="false">IF(AI47="","",AI47-AJ47)</f>
        <v/>
      </c>
      <c r="AL47" s="25" t="str">
        <f aca="false">IF(AA47="","",IF(AA47&lt;0,N(AL46)+1,0))</f>
        <v/>
      </c>
      <c r="AM47" s="37" t="str">
        <f aca="false">IF(B47="","",B47-WEEKDAY(B47,2)+1)</f>
        <v/>
      </c>
    </row>
    <row r="48" customFormat="false" ht="15" hidden="false" customHeight="false" outlineLevel="0" collapsed="false">
      <c r="A48" s="25" t="str">
        <f aca="false">IF(B48="","",ROW()-4)</f>
        <v/>
      </c>
      <c r="B48" s="26"/>
      <c r="C48" s="27" t="str">
        <f aca="false">IF(B48="","",CHOOSE(WEEKDAY(B48,2),"Lundi","Mardi","Mercredi","Jeudi","Vendredi","Samedi","Dimanche"))</f>
        <v/>
      </c>
      <c r="D48" s="28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5" t="str">
        <f aca="false">IF(B48="","",OR(AND(H48="Achat",I48="Haussier"),AND(H48="Vente",I48="Baissier"))*1+OR(AND(H48="Achat",J48="Discount"),AND(H48="Vente",J48="Premium"))*1+AND(K48&lt;&gt;"",K48&lt;&gt;"Aucune")*1+OR(L48="CHoCH",L48="BOS")*1+(M48="Oui")*1+OR(G48="Londres",G48="New York")*1+(O48="Non")*1)</f>
        <v/>
      </c>
      <c r="Q48" s="27" t="str">
        <f aca="false">IF(P48="","",IF(P48=7,"A+",IF(P48&gt;=5,"B","C")))</f>
        <v/>
      </c>
      <c r="R48" s="29"/>
      <c r="S48" s="29"/>
      <c r="T48" s="27" t="str">
        <f aca="false">IF(OR(R48="",S48=""),"",R48+(R48-S48)*Paramètres!$B$6)</f>
        <v/>
      </c>
      <c r="U48" s="29"/>
      <c r="V48" s="27" t="str">
        <f aca="false">IF(OR(R48="",S48=""),"",ABS(R48-S48))</f>
        <v/>
      </c>
      <c r="W48" s="30" t="str">
        <f aca="false">IF(OR(U48="",V48="",N(V48)=0),"",ABS(U48-R48)/V48)</f>
        <v/>
      </c>
      <c r="X48" s="31"/>
      <c r="Y48" s="29"/>
      <c r="Z48" s="32"/>
      <c r="AA48" s="33" t="str">
        <f aca="false">IF(Y48="","",IF(Y48="Stop",-1,IF(Y48="BE",0,IF(Y48="TP1 + BE",Paramètres!$B$7*Paramètres!$B$6,IF(Y48="TP1 (100 %)",Paramètres!$B$6,IF(Y48="TP2",Paramètres!$B$7*Paramètres!$B$6+(1-Paramètres!$B$7)*N(W48),IF(Y48="Sortie manuelle",N(Z48),"")))))))</f>
        <v/>
      </c>
      <c r="AB48" s="34" t="str">
        <f aca="false">IF(AA48="","",AA48*IF(X48="",Paramètres!$B$5,X48))</f>
        <v/>
      </c>
      <c r="AC48" s="35" t="str">
        <f aca="false">IF(AB48="","",Paramètres!$B$4*(1+SUM(AB$5:AB48)))</f>
        <v/>
      </c>
      <c r="AD48" s="29"/>
      <c r="AE48" s="29"/>
      <c r="AF48" s="29"/>
      <c r="AG48" s="36"/>
      <c r="AH48" s="36"/>
      <c r="AI48" s="33" t="str">
        <f aca="false">IF(AA48="","",SUM(AA$5:AA48))</f>
        <v/>
      </c>
      <c r="AJ48" s="33" t="str">
        <f aca="false">IF(AI48="","",MAX(AI48,MAX(AJ$5:AJ47),0))</f>
        <v/>
      </c>
      <c r="AK48" s="33" t="str">
        <f aca="false">IF(AI48="","",AI48-AJ48)</f>
        <v/>
      </c>
      <c r="AL48" s="25" t="str">
        <f aca="false">IF(AA48="","",IF(AA48&lt;0,N(AL47)+1,0))</f>
        <v/>
      </c>
      <c r="AM48" s="37" t="str">
        <f aca="false">IF(B48="","",B48-WEEKDAY(B48,2)+1)</f>
        <v/>
      </c>
    </row>
    <row r="49" customFormat="false" ht="15" hidden="false" customHeight="false" outlineLevel="0" collapsed="false">
      <c r="A49" s="25" t="str">
        <f aca="false">IF(B49="","",ROW()-4)</f>
        <v/>
      </c>
      <c r="B49" s="26"/>
      <c r="C49" s="27" t="str">
        <f aca="false">IF(B49="","",CHOOSE(WEEKDAY(B49,2),"Lundi","Mardi","Mercredi","Jeudi","Vendredi","Samedi","Dimanche"))</f>
        <v/>
      </c>
      <c r="D49" s="28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5" t="str">
        <f aca="false">IF(B49="","",OR(AND(H49="Achat",I49="Haussier"),AND(H49="Vente",I49="Baissier"))*1+OR(AND(H49="Achat",J49="Discount"),AND(H49="Vente",J49="Premium"))*1+AND(K49&lt;&gt;"",K49&lt;&gt;"Aucune")*1+OR(L49="CHoCH",L49="BOS")*1+(M49="Oui")*1+OR(G49="Londres",G49="New York")*1+(O49="Non")*1)</f>
        <v/>
      </c>
      <c r="Q49" s="27" t="str">
        <f aca="false">IF(P49="","",IF(P49=7,"A+",IF(P49&gt;=5,"B","C")))</f>
        <v/>
      </c>
      <c r="R49" s="29"/>
      <c r="S49" s="29"/>
      <c r="T49" s="27" t="str">
        <f aca="false">IF(OR(R49="",S49=""),"",R49+(R49-S49)*Paramètres!$B$6)</f>
        <v/>
      </c>
      <c r="U49" s="29"/>
      <c r="V49" s="27" t="str">
        <f aca="false">IF(OR(R49="",S49=""),"",ABS(R49-S49))</f>
        <v/>
      </c>
      <c r="W49" s="30" t="str">
        <f aca="false">IF(OR(U49="",V49="",N(V49)=0),"",ABS(U49-R49)/V49)</f>
        <v/>
      </c>
      <c r="X49" s="31"/>
      <c r="Y49" s="29"/>
      <c r="Z49" s="32"/>
      <c r="AA49" s="33" t="str">
        <f aca="false">IF(Y49="","",IF(Y49="Stop",-1,IF(Y49="BE",0,IF(Y49="TP1 + BE",Paramètres!$B$7*Paramètres!$B$6,IF(Y49="TP1 (100 %)",Paramètres!$B$6,IF(Y49="TP2",Paramètres!$B$7*Paramètres!$B$6+(1-Paramètres!$B$7)*N(W49),IF(Y49="Sortie manuelle",N(Z49),"")))))))</f>
        <v/>
      </c>
      <c r="AB49" s="34" t="str">
        <f aca="false">IF(AA49="","",AA49*IF(X49="",Paramètres!$B$5,X49))</f>
        <v/>
      </c>
      <c r="AC49" s="35" t="str">
        <f aca="false">IF(AB49="","",Paramètres!$B$4*(1+SUM(AB$5:AB49)))</f>
        <v/>
      </c>
      <c r="AD49" s="29"/>
      <c r="AE49" s="29"/>
      <c r="AF49" s="29"/>
      <c r="AG49" s="36"/>
      <c r="AH49" s="36"/>
      <c r="AI49" s="33" t="str">
        <f aca="false">IF(AA49="","",SUM(AA$5:AA49))</f>
        <v/>
      </c>
      <c r="AJ49" s="33" t="str">
        <f aca="false">IF(AI49="","",MAX(AI49,MAX(AJ$5:AJ48),0))</f>
        <v/>
      </c>
      <c r="AK49" s="33" t="str">
        <f aca="false">IF(AI49="","",AI49-AJ49)</f>
        <v/>
      </c>
      <c r="AL49" s="25" t="str">
        <f aca="false">IF(AA49="","",IF(AA49&lt;0,N(AL48)+1,0))</f>
        <v/>
      </c>
      <c r="AM49" s="37" t="str">
        <f aca="false">IF(B49="","",B49-WEEKDAY(B49,2)+1)</f>
        <v/>
      </c>
    </row>
    <row r="50" customFormat="false" ht="15" hidden="false" customHeight="false" outlineLevel="0" collapsed="false">
      <c r="A50" s="25" t="str">
        <f aca="false">IF(B50="","",ROW()-4)</f>
        <v/>
      </c>
      <c r="B50" s="26"/>
      <c r="C50" s="27" t="str">
        <f aca="false">IF(B50="","",CHOOSE(WEEKDAY(B50,2),"Lundi","Mardi","Mercredi","Jeudi","Vendredi","Samedi","Dimanche"))</f>
        <v/>
      </c>
      <c r="D50" s="28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5" t="str">
        <f aca="false">IF(B50="","",OR(AND(H50="Achat",I50="Haussier"),AND(H50="Vente",I50="Baissier"))*1+OR(AND(H50="Achat",J50="Discount"),AND(H50="Vente",J50="Premium"))*1+AND(K50&lt;&gt;"",K50&lt;&gt;"Aucune")*1+OR(L50="CHoCH",L50="BOS")*1+(M50="Oui")*1+OR(G50="Londres",G50="New York")*1+(O50="Non")*1)</f>
        <v/>
      </c>
      <c r="Q50" s="27" t="str">
        <f aca="false">IF(P50="","",IF(P50=7,"A+",IF(P50&gt;=5,"B","C")))</f>
        <v/>
      </c>
      <c r="R50" s="29"/>
      <c r="S50" s="29"/>
      <c r="T50" s="27" t="str">
        <f aca="false">IF(OR(R50="",S50=""),"",R50+(R50-S50)*Paramètres!$B$6)</f>
        <v/>
      </c>
      <c r="U50" s="29"/>
      <c r="V50" s="27" t="str">
        <f aca="false">IF(OR(R50="",S50=""),"",ABS(R50-S50))</f>
        <v/>
      </c>
      <c r="W50" s="30" t="str">
        <f aca="false">IF(OR(U50="",V50="",N(V50)=0),"",ABS(U50-R50)/V50)</f>
        <v/>
      </c>
      <c r="X50" s="31"/>
      <c r="Y50" s="29"/>
      <c r="Z50" s="32"/>
      <c r="AA50" s="33" t="str">
        <f aca="false">IF(Y50="","",IF(Y50="Stop",-1,IF(Y50="BE",0,IF(Y50="TP1 + BE",Paramètres!$B$7*Paramètres!$B$6,IF(Y50="TP1 (100 %)",Paramètres!$B$6,IF(Y50="TP2",Paramètres!$B$7*Paramètres!$B$6+(1-Paramètres!$B$7)*N(W50),IF(Y50="Sortie manuelle",N(Z50),"")))))))</f>
        <v/>
      </c>
      <c r="AB50" s="34" t="str">
        <f aca="false">IF(AA50="","",AA50*IF(X50="",Paramètres!$B$5,X50))</f>
        <v/>
      </c>
      <c r="AC50" s="35" t="str">
        <f aca="false">IF(AB50="","",Paramètres!$B$4*(1+SUM(AB$5:AB50)))</f>
        <v/>
      </c>
      <c r="AD50" s="29"/>
      <c r="AE50" s="29"/>
      <c r="AF50" s="29"/>
      <c r="AG50" s="36"/>
      <c r="AH50" s="36"/>
      <c r="AI50" s="33" t="str">
        <f aca="false">IF(AA50="","",SUM(AA$5:AA50))</f>
        <v/>
      </c>
      <c r="AJ50" s="33" t="str">
        <f aca="false">IF(AI50="","",MAX(AI50,MAX(AJ$5:AJ49),0))</f>
        <v/>
      </c>
      <c r="AK50" s="33" t="str">
        <f aca="false">IF(AI50="","",AI50-AJ50)</f>
        <v/>
      </c>
      <c r="AL50" s="25" t="str">
        <f aca="false">IF(AA50="","",IF(AA50&lt;0,N(AL49)+1,0))</f>
        <v/>
      </c>
      <c r="AM50" s="37" t="str">
        <f aca="false">IF(B50="","",B50-WEEKDAY(B50,2)+1)</f>
        <v/>
      </c>
    </row>
    <row r="51" customFormat="false" ht="15" hidden="false" customHeight="false" outlineLevel="0" collapsed="false">
      <c r="A51" s="25" t="str">
        <f aca="false">IF(B51="","",ROW()-4)</f>
        <v/>
      </c>
      <c r="B51" s="26"/>
      <c r="C51" s="27" t="str">
        <f aca="false">IF(B51="","",CHOOSE(WEEKDAY(B51,2),"Lundi","Mardi","Mercredi","Jeudi","Vendredi","Samedi","Dimanche"))</f>
        <v/>
      </c>
      <c r="D51" s="28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5" t="str">
        <f aca="false">IF(B51="","",OR(AND(H51="Achat",I51="Haussier"),AND(H51="Vente",I51="Baissier"))*1+OR(AND(H51="Achat",J51="Discount"),AND(H51="Vente",J51="Premium"))*1+AND(K51&lt;&gt;"",K51&lt;&gt;"Aucune")*1+OR(L51="CHoCH",L51="BOS")*1+(M51="Oui")*1+OR(G51="Londres",G51="New York")*1+(O51="Non")*1)</f>
        <v/>
      </c>
      <c r="Q51" s="27" t="str">
        <f aca="false">IF(P51="","",IF(P51=7,"A+",IF(P51&gt;=5,"B","C")))</f>
        <v/>
      </c>
      <c r="R51" s="29"/>
      <c r="S51" s="29"/>
      <c r="T51" s="27" t="str">
        <f aca="false">IF(OR(R51="",S51=""),"",R51+(R51-S51)*Paramètres!$B$6)</f>
        <v/>
      </c>
      <c r="U51" s="29"/>
      <c r="V51" s="27" t="str">
        <f aca="false">IF(OR(R51="",S51=""),"",ABS(R51-S51))</f>
        <v/>
      </c>
      <c r="W51" s="30" t="str">
        <f aca="false">IF(OR(U51="",V51="",N(V51)=0),"",ABS(U51-R51)/V51)</f>
        <v/>
      </c>
      <c r="X51" s="31"/>
      <c r="Y51" s="29"/>
      <c r="Z51" s="32"/>
      <c r="AA51" s="33" t="str">
        <f aca="false">IF(Y51="","",IF(Y51="Stop",-1,IF(Y51="BE",0,IF(Y51="TP1 + BE",Paramètres!$B$7*Paramètres!$B$6,IF(Y51="TP1 (100 %)",Paramètres!$B$6,IF(Y51="TP2",Paramètres!$B$7*Paramètres!$B$6+(1-Paramètres!$B$7)*N(W51),IF(Y51="Sortie manuelle",N(Z51),"")))))))</f>
        <v/>
      </c>
      <c r="AB51" s="34" t="str">
        <f aca="false">IF(AA51="","",AA51*IF(X51="",Paramètres!$B$5,X51))</f>
        <v/>
      </c>
      <c r="AC51" s="35" t="str">
        <f aca="false">IF(AB51="","",Paramètres!$B$4*(1+SUM(AB$5:AB51)))</f>
        <v/>
      </c>
      <c r="AD51" s="29"/>
      <c r="AE51" s="29"/>
      <c r="AF51" s="29"/>
      <c r="AG51" s="36"/>
      <c r="AH51" s="36"/>
      <c r="AI51" s="33" t="str">
        <f aca="false">IF(AA51="","",SUM(AA$5:AA51))</f>
        <v/>
      </c>
      <c r="AJ51" s="33" t="str">
        <f aca="false">IF(AI51="","",MAX(AI51,MAX(AJ$5:AJ50),0))</f>
        <v/>
      </c>
      <c r="AK51" s="33" t="str">
        <f aca="false">IF(AI51="","",AI51-AJ51)</f>
        <v/>
      </c>
      <c r="AL51" s="25" t="str">
        <f aca="false">IF(AA51="","",IF(AA51&lt;0,N(AL50)+1,0))</f>
        <v/>
      </c>
      <c r="AM51" s="37" t="str">
        <f aca="false">IF(B51="","",B51-WEEKDAY(B51,2)+1)</f>
        <v/>
      </c>
    </row>
    <row r="52" customFormat="false" ht="15" hidden="false" customHeight="false" outlineLevel="0" collapsed="false">
      <c r="A52" s="25" t="str">
        <f aca="false">IF(B52="","",ROW()-4)</f>
        <v/>
      </c>
      <c r="B52" s="26"/>
      <c r="C52" s="27" t="str">
        <f aca="false">IF(B52="","",CHOOSE(WEEKDAY(B52,2),"Lundi","Mardi","Mercredi","Jeudi","Vendredi","Samedi","Dimanche"))</f>
        <v/>
      </c>
      <c r="D52" s="28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5" t="str">
        <f aca="false">IF(B52="","",OR(AND(H52="Achat",I52="Haussier"),AND(H52="Vente",I52="Baissier"))*1+OR(AND(H52="Achat",J52="Discount"),AND(H52="Vente",J52="Premium"))*1+AND(K52&lt;&gt;"",K52&lt;&gt;"Aucune")*1+OR(L52="CHoCH",L52="BOS")*1+(M52="Oui")*1+OR(G52="Londres",G52="New York")*1+(O52="Non")*1)</f>
        <v/>
      </c>
      <c r="Q52" s="27" t="str">
        <f aca="false">IF(P52="","",IF(P52=7,"A+",IF(P52&gt;=5,"B","C")))</f>
        <v/>
      </c>
      <c r="R52" s="29"/>
      <c r="S52" s="29"/>
      <c r="T52" s="27" t="str">
        <f aca="false">IF(OR(R52="",S52=""),"",R52+(R52-S52)*Paramètres!$B$6)</f>
        <v/>
      </c>
      <c r="U52" s="29"/>
      <c r="V52" s="27" t="str">
        <f aca="false">IF(OR(R52="",S52=""),"",ABS(R52-S52))</f>
        <v/>
      </c>
      <c r="W52" s="30" t="str">
        <f aca="false">IF(OR(U52="",V52="",N(V52)=0),"",ABS(U52-R52)/V52)</f>
        <v/>
      </c>
      <c r="X52" s="31"/>
      <c r="Y52" s="29"/>
      <c r="Z52" s="32"/>
      <c r="AA52" s="33" t="str">
        <f aca="false">IF(Y52="","",IF(Y52="Stop",-1,IF(Y52="BE",0,IF(Y52="TP1 + BE",Paramètres!$B$7*Paramètres!$B$6,IF(Y52="TP1 (100 %)",Paramètres!$B$6,IF(Y52="TP2",Paramètres!$B$7*Paramètres!$B$6+(1-Paramètres!$B$7)*N(W52),IF(Y52="Sortie manuelle",N(Z52),"")))))))</f>
        <v/>
      </c>
      <c r="AB52" s="34" t="str">
        <f aca="false">IF(AA52="","",AA52*IF(X52="",Paramètres!$B$5,X52))</f>
        <v/>
      </c>
      <c r="AC52" s="35" t="str">
        <f aca="false">IF(AB52="","",Paramètres!$B$4*(1+SUM(AB$5:AB52)))</f>
        <v/>
      </c>
      <c r="AD52" s="29"/>
      <c r="AE52" s="29"/>
      <c r="AF52" s="29"/>
      <c r="AG52" s="36"/>
      <c r="AH52" s="36"/>
      <c r="AI52" s="33" t="str">
        <f aca="false">IF(AA52="","",SUM(AA$5:AA52))</f>
        <v/>
      </c>
      <c r="AJ52" s="33" t="str">
        <f aca="false">IF(AI52="","",MAX(AI52,MAX(AJ$5:AJ51),0))</f>
        <v/>
      </c>
      <c r="AK52" s="33" t="str">
        <f aca="false">IF(AI52="","",AI52-AJ52)</f>
        <v/>
      </c>
      <c r="AL52" s="25" t="str">
        <f aca="false">IF(AA52="","",IF(AA52&lt;0,N(AL51)+1,0))</f>
        <v/>
      </c>
      <c r="AM52" s="37" t="str">
        <f aca="false">IF(B52="","",B52-WEEKDAY(B52,2)+1)</f>
        <v/>
      </c>
    </row>
    <row r="53" customFormat="false" ht="15" hidden="false" customHeight="false" outlineLevel="0" collapsed="false">
      <c r="A53" s="25" t="str">
        <f aca="false">IF(B53="","",ROW()-4)</f>
        <v/>
      </c>
      <c r="B53" s="26"/>
      <c r="C53" s="27" t="str">
        <f aca="false">IF(B53="","",CHOOSE(WEEKDAY(B53,2),"Lundi","Mardi","Mercredi","Jeudi","Vendredi","Samedi","Dimanche"))</f>
        <v/>
      </c>
      <c r="D53" s="28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5" t="str">
        <f aca="false">IF(B53="","",OR(AND(H53="Achat",I53="Haussier"),AND(H53="Vente",I53="Baissier"))*1+OR(AND(H53="Achat",J53="Discount"),AND(H53="Vente",J53="Premium"))*1+AND(K53&lt;&gt;"",K53&lt;&gt;"Aucune")*1+OR(L53="CHoCH",L53="BOS")*1+(M53="Oui")*1+OR(G53="Londres",G53="New York")*1+(O53="Non")*1)</f>
        <v/>
      </c>
      <c r="Q53" s="27" t="str">
        <f aca="false">IF(P53="","",IF(P53=7,"A+",IF(P53&gt;=5,"B","C")))</f>
        <v/>
      </c>
      <c r="R53" s="29"/>
      <c r="S53" s="29"/>
      <c r="T53" s="27" t="str">
        <f aca="false">IF(OR(R53="",S53=""),"",R53+(R53-S53)*Paramètres!$B$6)</f>
        <v/>
      </c>
      <c r="U53" s="29"/>
      <c r="V53" s="27" t="str">
        <f aca="false">IF(OR(R53="",S53=""),"",ABS(R53-S53))</f>
        <v/>
      </c>
      <c r="W53" s="30" t="str">
        <f aca="false">IF(OR(U53="",V53="",N(V53)=0),"",ABS(U53-R53)/V53)</f>
        <v/>
      </c>
      <c r="X53" s="31"/>
      <c r="Y53" s="29"/>
      <c r="Z53" s="32"/>
      <c r="AA53" s="33" t="str">
        <f aca="false">IF(Y53="","",IF(Y53="Stop",-1,IF(Y53="BE",0,IF(Y53="TP1 + BE",Paramètres!$B$7*Paramètres!$B$6,IF(Y53="TP1 (100 %)",Paramètres!$B$6,IF(Y53="TP2",Paramètres!$B$7*Paramètres!$B$6+(1-Paramètres!$B$7)*N(W53),IF(Y53="Sortie manuelle",N(Z53),"")))))))</f>
        <v/>
      </c>
      <c r="AB53" s="34" t="str">
        <f aca="false">IF(AA53="","",AA53*IF(X53="",Paramètres!$B$5,X53))</f>
        <v/>
      </c>
      <c r="AC53" s="35" t="str">
        <f aca="false">IF(AB53="","",Paramètres!$B$4*(1+SUM(AB$5:AB53)))</f>
        <v/>
      </c>
      <c r="AD53" s="29"/>
      <c r="AE53" s="29"/>
      <c r="AF53" s="29"/>
      <c r="AG53" s="36"/>
      <c r="AH53" s="36"/>
      <c r="AI53" s="33" t="str">
        <f aca="false">IF(AA53="","",SUM(AA$5:AA53))</f>
        <v/>
      </c>
      <c r="AJ53" s="33" t="str">
        <f aca="false">IF(AI53="","",MAX(AI53,MAX(AJ$5:AJ52),0))</f>
        <v/>
      </c>
      <c r="AK53" s="33" t="str">
        <f aca="false">IF(AI53="","",AI53-AJ53)</f>
        <v/>
      </c>
      <c r="AL53" s="25" t="str">
        <f aca="false">IF(AA53="","",IF(AA53&lt;0,N(AL52)+1,0))</f>
        <v/>
      </c>
      <c r="AM53" s="37" t="str">
        <f aca="false">IF(B53="","",B53-WEEKDAY(B53,2)+1)</f>
        <v/>
      </c>
    </row>
    <row r="54" customFormat="false" ht="15" hidden="false" customHeight="false" outlineLevel="0" collapsed="false">
      <c r="A54" s="25" t="str">
        <f aca="false">IF(B54="","",ROW()-4)</f>
        <v/>
      </c>
      <c r="B54" s="26"/>
      <c r="C54" s="27" t="str">
        <f aca="false">IF(B54="","",CHOOSE(WEEKDAY(B54,2),"Lundi","Mardi","Mercredi","Jeudi","Vendredi","Samedi","Dimanche"))</f>
        <v/>
      </c>
      <c r="D54" s="28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5" t="str">
        <f aca="false">IF(B54="","",OR(AND(H54="Achat",I54="Haussier"),AND(H54="Vente",I54="Baissier"))*1+OR(AND(H54="Achat",J54="Discount"),AND(H54="Vente",J54="Premium"))*1+AND(K54&lt;&gt;"",K54&lt;&gt;"Aucune")*1+OR(L54="CHoCH",L54="BOS")*1+(M54="Oui")*1+OR(G54="Londres",G54="New York")*1+(O54="Non")*1)</f>
        <v/>
      </c>
      <c r="Q54" s="27" t="str">
        <f aca="false">IF(P54="","",IF(P54=7,"A+",IF(P54&gt;=5,"B","C")))</f>
        <v/>
      </c>
      <c r="R54" s="29"/>
      <c r="S54" s="29"/>
      <c r="T54" s="27" t="str">
        <f aca="false">IF(OR(R54="",S54=""),"",R54+(R54-S54)*Paramètres!$B$6)</f>
        <v/>
      </c>
      <c r="U54" s="29"/>
      <c r="V54" s="27" t="str">
        <f aca="false">IF(OR(R54="",S54=""),"",ABS(R54-S54))</f>
        <v/>
      </c>
      <c r="W54" s="30" t="str">
        <f aca="false">IF(OR(U54="",V54="",N(V54)=0),"",ABS(U54-R54)/V54)</f>
        <v/>
      </c>
      <c r="X54" s="31"/>
      <c r="Y54" s="29"/>
      <c r="Z54" s="32"/>
      <c r="AA54" s="33" t="str">
        <f aca="false">IF(Y54="","",IF(Y54="Stop",-1,IF(Y54="BE",0,IF(Y54="TP1 + BE",Paramètres!$B$7*Paramètres!$B$6,IF(Y54="TP1 (100 %)",Paramètres!$B$6,IF(Y54="TP2",Paramètres!$B$7*Paramètres!$B$6+(1-Paramètres!$B$7)*N(W54),IF(Y54="Sortie manuelle",N(Z54),"")))))))</f>
        <v/>
      </c>
      <c r="AB54" s="34" t="str">
        <f aca="false">IF(AA54="","",AA54*IF(X54="",Paramètres!$B$5,X54))</f>
        <v/>
      </c>
      <c r="AC54" s="35" t="str">
        <f aca="false">IF(AB54="","",Paramètres!$B$4*(1+SUM(AB$5:AB54)))</f>
        <v/>
      </c>
      <c r="AD54" s="29"/>
      <c r="AE54" s="29"/>
      <c r="AF54" s="29"/>
      <c r="AG54" s="36"/>
      <c r="AH54" s="36"/>
      <c r="AI54" s="33" t="str">
        <f aca="false">IF(AA54="","",SUM(AA$5:AA54))</f>
        <v/>
      </c>
      <c r="AJ54" s="33" t="str">
        <f aca="false">IF(AI54="","",MAX(AI54,MAX(AJ$5:AJ53),0))</f>
        <v/>
      </c>
      <c r="AK54" s="33" t="str">
        <f aca="false">IF(AI54="","",AI54-AJ54)</f>
        <v/>
      </c>
      <c r="AL54" s="25" t="str">
        <f aca="false">IF(AA54="","",IF(AA54&lt;0,N(AL53)+1,0))</f>
        <v/>
      </c>
      <c r="AM54" s="37" t="str">
        <f aca="false">IF(B54="","",B54-WEEKDAY(B54,2)+1)</f>
        <v/>
      </c>
    </row>
    <row r="55" customFormat="false" ht="15" hidden="false" customHeight="false" outlineLevel="0" collapsed="false">
      <c r="A55" s="25" t="str">
        <f aca="false">IF(B55="","",ROW()-4)</f>
        <v/>
      </c>
      <c r="B55" s="26"/>
      <c r="C55" s="27" t="str">
        <f aca="false">IF(B55="","",CHOOSE(WEEKDAY(B55,2),"Lundi","Mardi","Mercredi","Jeudi","Vendredi","Samedi","Dimanche"))</f>
        <v/>
      </c>
      <c r="D55" s="28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5" t="str">
        <f aca="false">IF(B55="","",OR(AND(H55="Achat",I55="Haussier"),AND(H55="Vente",I55="Baissier"))*1+OR(AND(H55="Achat",J55="Discount"),AND(H55="Vente",J55="Premium"))*1+AND(K55&lt;&gt;"",K55&lt;&gt;"Aucune")*1+OR(L55="CHoCH",L55="BOS")*1+(M55="Oui")*1+OR(G55="Londres",G55="New York")*1+(O55="Non")*1)</f>
        <v/>
      </c>
      <c r="Q55" s="27" t="str">
        <f aca="false">IF(P55="","",IF(P55=7,"A+",IF(P55&gt;=5,"B","C")))</f>
        <v/>
      </c>
      <c r="R55" s="29"/>
      <c r="S55" s="29"/>
      <c r="T55" s="27" t="str">
        <f aca="false">IF(OR(R55="",S55=""),"",R55+(R55-S55)*Paramètres!$B$6)</f>
        <v/>
      </c>
      <c r="U55" s="29"/>
      <c r="V55" s="27" t="str">
        <f aca="false">IF(OR(R55="",S55=""),"",ABS(R55-S55))</f>
        <v/>
      </c>
      <c r="W55" s="30" t="str">
        <f aca="false">IF(OR(U55="",V55="",N(V55)=0),"",ABS(U55-R55)/V55)</f>
        <v/>
      </c>
      <c r="X55" s="31"/>
      <c r="Y55" s="29"/>
      <c r="Z55" s="32"/>
      <c r="AA55" s="33" t="str">
        <f aca="false">IF(Y55="","",IF(Y55="Stop",-1,IF(Y55="BE",0,IF(Y55="TP1 + BE",Paramètres!$B$7*Paramètres!$B$6,IF(Y55="TP1 (100 %)",Paramètres!$B$6,IF(Y55="TP2",Paramètres!$B$7*Paramètres!$B$6+(1-Paramètres!$B$7)*N(W55),IF(Y55="Sortie manuelle",N(Z55),"")))))))</f>
        <v/>
      </c>
      <c r="AB55" s="34" t="str">
        <f aca="false">IF(AA55="","",AA55*IF(X55="",Paramètres!$B$5,X55))</f>
        <v/>
      </c>
      <c r="AC55" s="35" t="str">
        <f aca="false">IF(AB55="","",Paramètres!$B$4*(1+SUM(AB$5:AB55)))</f>
        <v/>
      </c>
      <c r="AD55" s="29"/>
      <c r="AE55" s="29"/>
      <c r="AF55" s="29"/>
      <c r="AG55" s="36"/>
      <c r="AH55" s="36"/>
      <c r="AI55" s="33" t="str">
        <f aca="false">IF(AA55="","",SUM(AA$5:AA55))</f>
        <v/>
      </c>
      <c r="AJ55" s="33" t="str">
        <f aca="false">IF(AI55="","",MAX(AI55,MAX(AJ$5:AJ54),0))</f>
        <v/>
      </c>
      <c r="AK55" s="33" t="str">
        <f aca="false">IF(AI55="","",AI55-AJ55)</f>
        <v/>
      </c>
      <c r="AL55" s="25" t="str">
        <f aca="false">IF(AA55="","",IF(AA55&lt;0,N(AL54)+1,0))</f>
        <v/>
      </c>
      <c r="AM55" s="37" t="str">
        <f aca="false">IF(B55="","",B55-WEEKDAY(B55,2)+1)</f>
        <v/>
      </c>
    </row>
    <row r="56" customFormat="false" ht="15" hidden="false" customHeight="false" outlineLevel="0" collapsed="false">
      <c r="A56" s="25" t="str">
        <f aca="false">IF(B56="","",ROW()-4)</f>
        <v/>
      </c>
      <c r="B56" s="26"/>
      <c r="C56" s="27" t="str">
        <f aca="false">IF(B56="","",CHOOSE(WEEKDAY(B56,2),"Lundi","Mardi","Mercredi","Jeudi","Vendredi","Samedi","Dimanche"))</f>
        <v/>
      </c>
      <c r="D56" s="28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5" t="str">
        <f aca="false">IF(B56="","",OR(AND(H56="Achat",I56="Haussier"),AND(H56="Vente",I56="Baissier"))*1+OR(AND(H56="Achat",J56="Discount"),AND(H56="Vente",J56="Premium"))*1+AND(K56&lt;&gt;"",K56&lt;&gt;"Aucune")*1+OR(L56="CHoCH",L56="BOS")*1+(M56="Oui")*1+OR(G56="Londres",G56="New York")*1+(O56="Non")*1)</f>
        <v/>
      </c>
      <c r="Q56" s="27" t="str">
        <f aca="false">IF(P56="","",IF(P56=7,"A+",IF(P56&gt;=5,"B","C")))</f>
        <v/>
      </c>
      <c r="R56" s="29"/>
      <c r="S56" s="29"/>
      <c r="T56" s="27" t="str">
        <f aca="false">IF(OR(R56="",S56=""),"",R56+(R56-S56)*Paramètres!$B$6)</f>
        <v/>
      </c>
      <c r="U56" s="29"/>
      <c r="V56" s="27" t="str">
        <f aca="false">IF(OR(R56="",S56=""),"",ABS(R56-S56))</f>
        <v/>
      </c>
      <c r="W56" s="30" t="str">
        <f aca="false">IF(OR(U56="",V56="",N(V56)=0),"",ABS(U56-R56)/V56)</f>
        <v/>
      </c>
      <c r="X56" s="31"/>
      <c r="Y56" s="29"/>
      <c r="Z56" s="32"/>
      <c r="AA56" s="33" t="str">
        <f aca="false">IF(Y56="","",IF(Y56="Stop",-1,IF(Y56="BE",0,IF(Y56="TP1 + BE",Paramètres!$B$7*Paramètres!$B$6,IF(Y56="TP1 (100 %)",Paramètres!$B$6,IF(Y56="TP2",Paramètres!$B$7*Paramètres!$B$6+(1-Paramètres!$B$7)*N(W56),IF(Y56="Sortie manuelle",N(Z56),"")))))))</f>
        <v/>
      </c>
      <c r="AB56" s="34" t="str">
        <f aca="false">IF(AA56="","",AA56*IF(X56="",Paramètres!$B$5,X56))</f>
        <v/>
      </c>
      <c r="AC56" s="35" t="str">
        <f aca="false">IF(AB56="","",Paramètres!$B$4*(1+SUM(AB$5:AB56)))</f>
        <v/>
      </c>
      <c r="AD56" s="29"/>
      <c r="AE56" s="29"/>
      <c r="AF56" s="29"/>
      <c r="AG56" s="36"/>
      <c r="AH56" s="36"/>
      <c r="AI56" s="33" t="str">
        <f aca="false">IF(AA56="","",SUM(AA$5:AA56))</f>
        <v/>
      </c>
      <c r="AJ56" s="33" t="str">
        <f aca="false">IF(AI56="","",MAX(AI56,MAX(AJ$5:AJ55),0))</f>
        <v/>
      </c>
      <c r="AK56" s="33" t="str">
        <f aca="false">IF(AI56="","",AI56-AJ56)</f>
        <v/>
      </c>
      <c r="AL56" s="25" t="str">
        <f aca="false">IF(AA56="","",IF(AA56&lt;0,N(AL55)+1,0))</f>
        <v/>
      </c>
      <c r="AM56" s="37" t="str">
        <f aca="false">IF(B56="","",B56-WEEKDAY(B56,2)+1)</f>
        <v/>
      </c>
    </row>
    <row r="57" customFormat="false" ht="15" hidden="false" customHeight="false" outlineLevel="0" collapsed="false">
      <c r="A57" s="25" t="str">
        <f aca="false">IF(B57="","",ROW()-4)</f>
        <v/>
      </c>
      <c r="B57" s="26"/>
      <c r="C57" s="27" t="str">
        <f aca="false">IF(B57="","",CHOOSE(WEEKDAY(B57,2),"Lundi","Mardi","Mercredi","Jeudi","Vendredi","Samedi","Dimanche"))</f>
        <v/>
      </c>
      <c r="D57" s="28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5" t="str">
        <f aca="false">IF(B57="","",OR(AND(H57="Achat",I57="Haussier"),AND(H57="Vente",I57="Baissier"))*1+OR(AND(H57="Achat",J57="Discount"),AND(H57="Vente",J57="Premium"))*1+AND(K57&lt;&gt;"",K57&lt;&gt;"Aucune")*1+OR(L57="CHoCH",L57="BOS")*1+(M57="Oui")*1+OR(G57="Londres",G57="New York")*1+(O57="Non")*1)</f>
        <v/>
      </c>
      <c r="Q57" s="27" t="str">
        <f aca="false">IF(P57="","",IF(P57=7,"A+",IF(P57&gt;=5,"B","C")))</f>
        <v/>
      </c>
      <c r="R57" s="29"/>
      <c r="S57" s="29"/>
      <c r="T57" s="27" t="str">
        <f aca="false">IF(OR(R57="",S57=""),"",R57+(R57-S57)*Paramètres!$B$6)</f>
        <v/>
      </c>
      <c r="U57" s="29"/>
      <c r="V57" s="27" t="str">
        <f aca="false">IF(OR(R57="",S57=""),"",ABS(R57-S57))</f>
        <v/>
      </c>
      <c r="W57" s="30" t="str">
        <f aca="false">IF(OR(U57="",V57="",N(V57)=0),"",ABS(U57-R57)/V57)</f>
        <v/>
      </c>
      <c r="X57" s="31"/>
      <c r="Y57" s="29"/>
      <c r="Z57" s="32"/>
      <c r="AA57" s="33" t="str">
        <f aca="false">IF(Y57="","",IF(Y57="Stop",-1,IF(Y57="BE",0,IF(Y57="TP1 + BE",Paramètres!$B$7*Paramètres!$B$6,IF(Y57="TP1 (100 %)",Paramètres!$B$6,IF(Y57="TP2",Paramètres!$B$7*Paramètres!$B$6+(1-Paramètres!$B$7)*N(W57),IF(Y57="Sortie manuelle",N(Z57),"")))))))</f>
        <v/>
      </c>
      <c r="AB57" s="34" t="str">
        <f aca="false">IF(AA57="","",AA57*IF(X57="",Paramètres!$B$5,X57))</f>
        <v/>
      </c>
      <c r="AC57" s="35" t="str">
        <f aca="false">IF(AB57="","",Paramètres!$B$4*(1+SUM(AB$5:AB57)))</f>
        <v/>
      </c>
      <c r="AD57" s="29"/>
      <c r="AE57" s="29"/>
      <c r="AF57" s="29"/>
      <c r="AG57" s="36"/>
      <c r="AH57" s="36"/>
      <c r="AI57" s="33" t="str">
        <f aca="false">IF(AA57="","",SUM(AA$5:AA57))</f>
        <v/>
      </c>
      <c r="AJ57" s="33" t="str">
        <f aca="false">IF(AI57="","",MAX(AI57,MAX(AJ$5:AJ56),0))</f>
        <v/>
      </c>
      <c r="AK57" s="33" t="str">
        <f aca="false">IF(AI57="","",AI57-AJ57)</f>
        <v/>
      </c>
      <c r="AL57" s="25" t="str">
        <f aca="false">IF(AA57="","",IF(AA57&lt;0,N(AL56)+1,0))</f>
        <v/>
      </c>
      <c r="AM57" s="37" t="str">
        <f aca="false">IF(B57="","",B57-WEEKDAY(B57,2)+1)</f>
        <v/>
      </c>
    </row>
    <row r="58" customFormat="false" ht="15" hidden="false" customHeight="false" outlineLevel="0" collapsed="false">
      <c r="A58" s="25" t="str">
        <f aca="false">IF(B58="","",ROW()-4)</f>
        <v/>
      </c>
      <c r="B58" s="26"/>
      <c r="C58" s="27" t="str">
        <f aca="false">IF(B58="","",CHOOSE(WEEKDAY(B58,2),"Lundi","Mardi","Mercredi","Jeudi","Vendredi","Samedi","Dimanche"))</f>
        <v/>
      </c>
      <c r="D58" s="28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5" t="str">
        <f aca="false">IF(B58="","",OR(AND(H58="Achat",I58="Haussier"),AND(H58="Vente",I58="Baissier"))*1+OR(AND(H58="Achat",J58="Discount"),AND(H58="Vente",J58="Premium"))*1+AND(K58&lt;&gt;"",K58&lt;&gt;"Aucune")*1+OR(L58="CHoCH",L58="BOS")*1+(M58="Oui")*1+OR(G58="Londres",G58="New York")*1+(O58="Non")*1)</f>
        <v/>
      </c>
      <c r="Q58" s="27" t="str">
        <f aca="false">IF(P58="","",IF(P58=7,"A+",IF(P58&gt;=5,"B","C")))</f>
        <v/>
      </c>
      <c r="R58" s="29"/>
      <c r="S58" s="29"/>
      <c r="T58" s="27" t="str">
        <f aca="false">IF(OR(R58="",S58=""),"",R58+(R58-S58)*Paramètres!$B$6)</f>
        <v/>
      </c>
      <c r="U58" s="29"/>
      <c r="V58" s="27" t="str">
        <f aca="false">IF(OR(R58="",S58=""),"",ABS(R58-S58))</f>
        <v/>
      </c>
      <c r="W58" s="30" t="str">
        <f aca="false">IF(OR(U58="",V58="",N(V58)=0),"",ABS(U58-R58)/V58)</f>
        <v/>
      </c>
      <c r="X58" s="31"/>
      <c r="Y58" s="29"/>
      <c r="Z58" s="32"/>
      <c r="AA58" s="33" t="str">
        <f aca="false">IF(Y58="","",IF(Y58="Stop",-1,IF(Y58="BE",0,IF(Y58="TP1 + BE",Paramètres!$B$7*Paramètres!$B$6,IF(Y58="TP1 (100 %)",Paramètres!$B$6,IF(Y58="TP2",Paramètres!$B$7*Paramètres!$B$6+(1-Paramètres!$B$7)*N(W58),IF(Y58="Sortie manuelle",N(Z58),"")))))))</f>
        <v/>
      </c>
      <c r="AB58" s="34" t="str">
        <f aca="false">IF(AA58="","",AA58*IF(X58="",Paramètres!$B$5,X58))</f>
        <v/>
      </c>
      <c r="AC58" s="35" t="str">
        <f aca="false">IF(AB58="","",Paramètres!$B$4*(1+SUM(AB$5:AB58)))</f>
        <v/>
      </c>
      <c r="AD58" s="29"/>
      <c r="AE58" s="29"/>
      <c r="AF58" s="29"/>
      <c r="AG58" s="36"/>
      <c r="AH58" s="36"/>
      <c r="AI58" s="33" t="str">
        <f aca="false">IF(AA58="","",SUM(AA$5:AA58))</f>
        <v/>
      </c>
      <c r="AJ58" s="33" t="str">
        <f aca="false">IF(AI58="","",MAX(AI58,MAX(AJ$5:AJ57),0))</f>
        <v/>
      </c>
      <c r="AK58" s="33" t="str">
        <f aca="false">IF(AI58="","",AI58-AJ58)</f>
        <v/>
      </c>
      <c r="AL58" s="25" t="str">
        <f aca="false">IF(AA58="","",IF(AA58&lt;0,N(AL57)+1,0))</f>
        <v/>
      </c>
      <c r="AM58" s="37" t="str">
        <f aca="false">IF(B58="","",B58-WEEKDAY(B58,2)+1)</f>
        <v/>
      </c>
    </row>
    <row r="59" customFormat="false" ht="15" hidden="false" customHeight="false" outlineLevel="0" collapsed="false">
      <c r="A59" s="25" t="str">
        <f aca="false">IF(B59="","",ROW()-4)</f>
        <v/>
      </c>
      <c r="B59" s="26"/>
      <c r="C59" s="27" t="str">
        <f aca="false">IF(B59="","",CHOOSE(WEEKDAY(B59,2),"Lundi","Mardi","Mercredi","Jeudi","Vendredi","Samedi","Dimanche"))</f>
        <v/>
      </c>
      <c r="D59" s="28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5" t="str">
        <f aca="false">IF(B59="","",OR(AND(H59="Achat",I59="Haussier"),AND(H59="Vente",I59="Baissier"))*1+OR(AND(H59="Achat",J59="Discount"),AND(H59="Vente",J59="Premium"))*1+AND(K59&lt;&gt;"",K59&lt;&gt;"Aucune")*1+OR(L59="CHoCH",L59="BOS")*1+(M59="Oui")*1+OR(G59="Londres",G59="New York")*1+(O59="Non")*1)</f>
        <v/>
      </c>
      <c r="Q59" s="27" t="str">
        <f aca="false">IF(P59="","",IF(P59=7,"A+",IF(P59&gt;=5,"B","C")))</f>
        <v/>
      </c>
      <c r="R59" s="29"/>
      <c r="S59" s="29"/>
      <c r="T59" s="27" t="str">
        <f aca="false">IF(OR(R59="",S59=""),"",R59+(R59-S59)*Paramètres!$B$6)</f>
        <v/>
      </c>
      <c r="U59" s="29"/>
      <c r="V59" s="27" t="str">
        <f aca="false">IF(OR(R59="",S59=""),"",ABS(R59-S59))</f>
        <v/>
      </c>
      <c r="W59" s="30" t="str">
        <f aca="false">IF(OR(U59="",V59="",N(V59)=0),"",ABS(U59-R59)/V59)</f>
        <v/>
      </c>
      <c r="X59" s="31"/>
      <c r="Y59" s="29"/>
      <c r="Z59" s="32"/>
      <c r="AA59" s="33" t="str">
        <f aca="false">IF(Y59="","",IF(Y59="Stop",-1,IF(Y59="BE",0,IF(Y59="TP1 + BE",Paramètres!$B$7*Paramètres!$B$6,IF(Y59="TP1 (100 %)",Paramètres!$B$6,IF(Y59="TP2",Paramètres!$B$7*Paramètres!$B$6+(1-Paramètres!$B$7)*N(W59),IF(Y59="Sortie manuelle",N(Z59),"")))))))</f>
        <v/>
      </c>
      <c r="AB59" s="34" t="str">
        <f aca="false">IF(AA59="","",AA59*IF(X59="",Paramètres!$B$5,X59))</f>
        <v/>
      </c>
      <c r="AC59" s="35" t="str">
        <f aca="false">IF(AB59="","",Paramètres!$B$4*(1+SUM(AB$5:AB59)))</f>
        <v/>
      </c>
      <c r="AD59" s="29"/>
      <c r="AE59" s="29"/>
      <c r="AF59" s="29"/>
      <c r="AG59" s="36"/>
      <c r="AH59" s="36"/>
      <c r="AI59" s="33" t="str">
        <f aca="false">IF(AA59="","",SUM(AA$5:AA59))</f>
        <v/>
      </c>
      <c r="AJ59" s="33" t="str">
        <f aca="false">IF(AI59="","",MAX(AI59,MAX(AJ$5:AJ58),0))</f>
        <v/>
      </c>
      <c r="AK59" s="33" t="str">
        <f aca="false">IF(AI59="","",AI59-AJ59)</f>
        <v/>
      </c>
      <c r="AL59" s="25" t="str">
        <f aca="false">IF(AA59="","",IF(AA59&lt;0,N(AL58)+1,0))</f>
        <v/>
      </c>
      <c r="AM59" s="37" t="str">
        <f aca="false">IF(B59="","",B59-WEEKDAY(B59,2)+1)</f>
        <v/>
      </c>
    </row>
    <row r="60" customFormat="false" ht="15" hidden="false" customHeight="false" outlineLevel="0" collapsed="false">
      <c r="A60" s="25" t="str">
        <f aca="false">IF(B60="","",ROW()-4)</f>
        <v/>
      </c>
      <c r="B60" s="26"/>
      <c r="C60" s="27" t="str">
        <f aca="false">IF(B60="","",CHOOSE(WEEKDAY(B60,2),"Lundi","Mardi","Mercredi","Jeudi","Vendredi","Samedi","Dimanche"))</f>
        <v/>
      </c>
      <c r="D60" s="28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5" t="str">
        <f aca="false">IF(B60="","",OR(AND(H60="Achat",I60="Haussier"),AND(H60="Vente",I60="Baissier"))*1+OR(AND(H60="Achat",J60="Discount"),AND(H60="Vente",J60="Premium"))*1+AND(K60&lt;&gt;"",K60&lt;&gt;"Aucune")*1+OR(L60="CHoCH",L60="BOS")*1+(M60="Oui")*1+OR(G60="Londres",G60="New York")*1+(O60="Non")*1)</f>
        <v/>
      </c>
      <c r="Q60" s="27" t="str">
        <f aca="false">IF(P60="","",IF(P60=7,"A+",IF(P60&gt;=5,"B","C")))</f>
        <v/>
      </c>
      <c r="R60" s="29"/>
      <c r="S60" s="29"/>
      <c r="T60" s="27" t="str">
        <f aca="false">IF(OR(R60="",S60=""),"",R60+(R60-S60)*Paramètres!$B$6)</f>
        <v/>
      </c>
      <c r="U60" s="29"/>
      <c r="V60" s="27" t="str">
        <f aca="false">IF(OR(R60="",S60=""),"",ABS(R60-S60))</f>
        <v/>
      </c>
      <c r="W60" s="30" t="str">
        <f aca="false">IF(OR(U60="",V60="",N(V60)=0),"",ABS(U60-R60)/V60)</f>
        <v/>
      </c>
      <c r="X60" s="31"/>
      <c r="Y60" s="29"/>
      <c r="Z60" s="32"/>
      <c r="AA60" s="33" t="str">
        <f aca="false">IF(Y60="","",IF(Y60="Stop",-1,IF(Y60="BE",0,IF(Y60="TP1 + BE",Paramètres!$B$7*Paramètres!$B$6,IF(Y60="TP1 (100 %)",Paramètres!$B$6,IF(Y60="TP2",Paramètres!$B$7*Paramètres!$B$6+(1-Paramètres!$B$7)*N(W60),IF(Y60="Sortie manuelle",N(Z60),"")))))))</f>
        <v/>
      </c>
      <c r="AB60" s="34" t="str">
        <f aca="false">IF(AA60="","",AA60*IF(X60="",Paramètres!$B$5,X60))</f>
        <v/>
      </c>
      <c r="AC60" s="35" t="str">
        <f aca="false">IF(AB60="","",Paramètres!$B$4*(1+SUM(AB$5:AB60)))</f>
        <v/>
      </c>
      <c r="AD60" s="29"/>
      <c r="AE60" s="29"/>
      <c r="AF60" s="29"/>
      <c r="AG60" s="36"/>
      <c r="AH60" s="36"/>
      <c r="AI60" s="33" t="str">
        <f aca="false">IF(AA60="","",SUM(AA$5:AA60))</f>
        <v/>
      </c>
      <c r="AJ60" s="33" t="str">
        <f aca="false">IF(AI60="","",MAX(AI60,MAX(AJ$5:AJ59),0))</f>
        <v/>
      </c>
      <c r="AK60" s="33" t="str">
        <f aca="false">IF(AI60="","",AI60-AJ60)</f>
        <v/>
      </c>
      <c r="AL60" s="25" t="str">
        <f aca="false">IF(AA60="","",IF(AA60&lt;0,N(AL59)+1,0))</f>
        <v/>
      </c>
      <c r="AM60" s="37" t="str">
        <f aca="false">IF(B60="","",B60-WEEKDAY(B60,2)+1)</f>
        <v/>
      </c>
    </row>
    <row r="61" customFormat="false" ht="15" hidden="false" customHeight="false" outlineLevel="0" collapsed="false">
      <c r="A61" s="25" t="str">
        <f aca="false">IF(B61="","",ROW()-4)</f>
        <v/>
      </c>
      <c r="B61" s="26"/>
      <c r="C61" s="27" t="str">
        <f aca="false">IF(B61="","",CHOOSE(WEEKDAY(B61,2),"Lundi","Mardi","Mercredi","Jeudi","Vendredi","Samedi","Dimanche"))</f>
        <v/>
      </c>
      <c r="D61" s="28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5" t="str">
        <f aca="false">IF(B61="","",OR(AND(H61="Achat",I61="Haussier"),AND(H61="Vente",I61="Baissier"))*1+OR(AND(H61="Achat",J61="Discount"),AND(H61="Vente",J61="Premium"))*1+AND(K61&lt;&gt;"",K61&lt;&gt;"Aucune")*1+OR(L61="CHoCH",L61="BOS")*1+(M61="Oui")*1+OR(G61="Londres",G61="New York")*1+(O61="Non")*1)</f>
        <v/>
      </c>
      <c r="Q61" s="27" t="str">
        <f aca="false">IF(P61="","",IF(P61=7,"A+",IF(P61&gt;=5,"B","C")))</f>
        <v/>
      </c>
      <c r="R61" s="29"/>
      <c r="S61" s="29"/>
      <c r="T61" s="27" t="str">
        <f aca="false">IF(OR(R61="",S61=""),"",R61+(R61-S61)*Paramètres!$B$6)</f>
        <v/>
      </c>
      <c r="U61" s="29"/>
      <c r="V61" s="27" t="str">
        <f aca="false">IF(OR(R61="",S61=""),"",ABS(R61-S61))</f>
        <v/>
      </c>
      <c r="W61" s="30" t="str">
        <f aca="false">IF(OR(U61="",V61="",N(V61)=0),"",ABS(U61-R61)/V61)</f>
        <v/>
      </c>
      <c r="X61" s="31"/>
      <c r="Y61" s="29"/>
      <c r="Z61" s="32"/>
      <c r="AA61" s="33" t="str">
        <f aca="false">IF(Y61="","",IF(Y61="Stop",-1,IF(Y61="BE",0,IF(Y61="TP1 + BE",Paramètres!$B$7*Paramètres!$B$6,IF(Y61="TP1 (100 %)",Paramètres!$B$6,IF(Y61="TP2",Paramètres!$B$7*Paramètres!$B$6+(1-Paramètres!$B$7)*N(W61),IF(Y61="Sortie manuelle",N(Z61),"")))))))</f>
        <v/>
      </c>
      <c r="AB61" s="34" t="str">
        <f aca="false">IF(AA61="","",AA61*IF(X61="",Paramètres!$B$5,X61))</f>
        <v/>
      </c>
      <c r="AC61" s="35" t="str">
        <f aca="false">IF(AB61="","",Paramètres!$B$4*(1+SUM(AB$5:AB61)))</f>
        <v/>
      </c>
      <c r="AD61" s="29"/>
      <c r="AE61" s="29"/>
      <c r="AF61" s="29"/>
      <c r="AG61" s="36"/>
      <c r="AH61" s="36"/>
      <c r="AI61" s="33" t="str">
        <f aca="false">IF(AA61="","",SUM(AA$5:AA61))</f>
        <v/>
      </c>
      <c r="AJ61" s="33" t="str">
        <f aca="false">IF(AI61="","",MAX(AI61,MAX(AJ$5:AJ60),0))</f>
        <v/>
      </c>
      <c r="AK61" s="33" t="str">
        <f aca="false">IF(AI61="","",AI61-AJ61)</f>
        <v/>
      </c>
      <c r="AL61" s="25" t="str">
        <f aca="false">IF(AA61="","",IF(AA61&lt;0,N(AL60)+1,0))</f>
        <v/>
      </c>
      <c r="AM61" s="37" t="str">
        <f aca="false">IF(B61="","",B61-WEEKDAY(B61,2)+1)</f>
        <v/>
      </c>
    </row>
    <row r="62" customFormat="false" ht="15" hidden="false" customHeight="false" outlineLevel="0" collapsed="false">
      <c r="A62" s="25" t="str">
        <f aca="false">IF(B62="","",ROW()-4)</f>
        <v/>
      </c>
      <c r="B62" s="26"/>
      <c r="C62" s="27" t="str">
        <f aca="false">IF(B62="","",CHOOSE(WEEKDAY(B62,2),"Lundi","Mardi","Mercredi","Jeudi","Vendredi","Samedi","Dimanche"))</f>
        <v/>
      </c>
      <c r="D62" s="28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5" t="str">
        <f aca="false">IF(B62="","",OR(AND(H62="Achat",I62="Haussier"),AND(H62="Vente",I62="Baissier"))*1+OR(AND(H62="Achat",J62="Discount"),AND(H62="Vente",J62="Premium"))*1+AND(K62&lt;&gt;"",K62&lt;&gt;"Aucune")*1+OR(L62="CHoCH",L62="BOS")*1+(M62="Oui")*1+OR(G62="Londres",G62="New York")*1+(O62="Non")*1)</f>
        <v/>
      </c>
      <c r="Q62" s="27" t="str">
        <f aca="false">IF(P62="","",IF(P62=7,"A+",IF(P62&gt;=5,"B","C")))</f>
        <v/>
      </c>
      <c r="R62" s="29"/>
      <c r="S62" s="29"/>
      <c r="T62" s="27" t="str">
        <f aca="false">IF(OR(R62="",S62=""),"",R62+(R62-S62)*Paramètres!$B$6)</f>
        <v/>
      </c>
      <c r="U62" s="29"/>
      <c r="V62" s="27" t="str">
        <f aca="false">IF(OR(R62="",S62=""),"",ABS(R62-S62))</f>
        <v/>
      </c>
      <c r="W62" s="30" t="str">
        <f aca="false">IF(OR(U62="",V62="",N(V62)=0),"",ABS(U62-R62)/V62)</f>
        <v/>
      </c>
      <c r="X62" s="31"/>
      <c r="Y62" s="29"/>
      <c r="Z62" s="32"/>
      <c r="AA62" s="33" t="str">
        <f aca="false">IF(Y62="","",IF(Y62="Stop",-1,IF(Y62="BE",0,IF(Y62="TP1 + BE",Paramètres!$B$7*Paramètres!$B$6,IF(Y62="TP1 (100 %)",Paramètres!$B$6,IF(Y62="TP2",Paramètres!$B$7*Paramètres!$B$6+(1-Paramètres!$B$7)*N(W62),IF(Y62="Sortie manuelle",N(Z62),"")))))))</f>
        <v/>
      </c>
      <c r="AB62" s="34" t="str">
        <f aca="false">IF(AA62="","",AA62*IF(X62="",Paramètres!$B$5,X62))</f>
        <v/>
      </c>
      <c r="AC62" s="35" t="str">
        <f aca="false">IF(AB62="","",Paramètres!$B$4*(1+SUM(AB$5:AB62)))</f>
        <v/>
      </c>
      <c r="AD62" s="29"/>
      <c r="AE62" s="29"/>
      <c r="AF62" s="29"/>
      <c r="AG62" s="36"/>
      <c r="AH62" s="36"/>
      <c r="AI62" s="33" t="str">
        <f aca="false">IF(AA62="","",SUM(AA$5:AA62))</f>
        <v/>
      </c>
      <c r="AJ62" s="33" t="str">
        <f aca="false">IF(AI62="","",MAX(AI62,MAX(AJ$5:AJ61),0))</f>
        <v/>
      </c>
      <c r="AK62" s="33" t="str">
        <f aca="false">IF(AI62="","",AI62-AJ62)</f>
        <v/>
      </c>
      <c r="AL62" s="25" t="str">
        <f aca="false">IF(AA62="","",IF(AA62&lt;0,N(AL61)+1,0))</f>
        <v/>
      </c>
      <c r="AM62" s="37" t="str">
        <f aca="false">IF(B62="","",B62-WEEKDAY(B62,2)+1)</f>
        <v/>
      </c>
    </row>
    <row r="63" customFormat="false" ht="15" hidden="false" customHeight="false" outlineLevel="0" collapsed="false">
      <c r="A63" s="25" t="str">
        <f aca="false">IF(B63="","",ROW()-4)</f>
        <v/>
      </c>
      <c r="B63" s="26"/>
      <c r="C63" s="27" t="str">
        <f aca="false">IF(B63="","",CHOOSE(WEEKDAY(B63,2),"Lundi","Mardi","Mercredi","Jeudi","Vendredi","Samedi","Dimanche"))</f>
        <v/>
      </c>
      <c r="D63" s="28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5" t="str">
        <f aca="false">IF(B63="","",OR(AND(H63="Achat",I63="Haussier"),AND(H63="Vente",I63="Baissier"))*1+OR(AND(H63="Achat",J63="Discount"),AND(H63="Vente",J63="Premium"))*1+AND(K63&lt;&gt;"",K63&lt;&gt;"Aucune")*1+OR(L63="CHoCH",L63="BOS")*1+(M63="Oui")*1+OR(G63="Londres",G63="New York")*1+(O63="Non")*1)</f>
        <v/>
      </c>
      <c r="Q63" s="27" t="str">
        <f aca="false">IF(P63="","",IF(P63=7,"A+",IF(P63&gt;=5,"B","C")))</f>
        <v/>
      </c>
      <c r="R63" s="29"/>
      <c r="S63" s="29"/>
      <c r="T63" s="27" t="str">
        <f aca="false">IF(OR(R63="",S63=""),"",R63+(R63-S63)*Paramètres!$B$6)</f>
        <v/>
      </c>
      <c r="U63" s="29"/>
      <c r="V63" s="27" t="str">
        <f aca="false">IF(OR(R63="",S63=""),"",ABS(R63-S63))</f>
        <v/>
      </c>
      <c r="W63" s="30" t="str">
        <f aca="false">IF(OR(U63="",V63="",N(V63)=0),"",ABS(U63-R63)/V63)</f>
        <v/>
      </c>
      <c r="X63" s="31"/>
      <c r="Y63" s="29"/>
      <c r="Z63" s="32"/>
      <c r="AA63" s="33" t="str">
        <f aca="false">IF(Y63="","",IF(Y63="Stop",-1,IF(Y63="BE",0,IF(Y63="TP1 + BE",Paramètres!$B$7*Paramètres!$B$6,IF(Y63="TP1 (100 %)",Paramètres!$B$6,IF(Y63="TP2",Paramètres!$B$7*Paramètres!$B$6+(1-Paramètres!$B$7)*N(W63),IF(Y63="Sortie manuelle",N(Z63),"")))))))</f>
        <v/>
      </c>
      <c r="AB63" s="34" t="str">
        <f aca="false">IF(AA63="","",AA63*IF(X63="",Paramètres!$B$5,X63))</f>
        <v/>
      </c>
      <c r="AC63" s="35" t="str">
        <f aca="false">IF(AB63="","",Paramètres!$B$4*(1+SUM(AB$5:AB63)))</f>
        <v/>
      </c>
      <c r="AD63" s="29"/>
      <c r="AE63" s="29"/>
      <c r="AF63" s="29"/>
      <c r="AG63" s="36"/>
      <c r="AH63" s="36"/>
      <c r="AI63" s="33" t="str">
        <f aca="false">IF(AA63="","",SUM(AA$5:AA63))</f>
        <v/>
      </c>
      <c r="AJ63" s="33" t="str">
        <f aca="false">IF(AI63="","",MAX(AI63,MAX(AJ$5:AJ62),0))</f>
        <v/>
      </c>
      <c r="AK63" s="33" t="str">
        <f aca="false">IF(AI63="","",AI63-AJ63)</f>
        <v/>
      </c>
      <c r="AL63" s="25" t="str">
        <f aca="false">IF(AA63="","",IF(AA63&lt;0,N(AL62)+1,0))</f>
        <v/>
      </c>
      <c r="AM63" s="37" t="str">
        <f aca="false">IF(B63="","",B63-WEEKDAY(B63,2)+1)</f>
        <v/>
      </c>
    </row>
    <row r="64" customFormat="false" ht="15" hidden="false" customHeight="false" outlineLevel="0" collapsed="false">
      <c r="A64" s="25" t="str">
        <f aca="false">IF(B64="","",ROW()-4)</f>
        <v/>
      </c>
      <c r="B64" s="26"/>
      <c r="C64" s="27" t="str">
        <f aca="false">IF(B64="","",CHOOSE(WEEKDAY(B64,2),"Lundi","Mardi","Mercredi","Jeudi","Vendredi","Samedi","Dimanche"))</f>
        <v/>
      </c>
      <c r="D64" s="28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5" t="str">
        <f aca="false">IF(B64="","",OR(AND(H64="Achat",I64="Haussier"),AND(H64="Vente",I64="Baissier"))*1+OR(AND(H64="Achat",J64="Discount"),AND(H64="Vente",J64="Premium"))*1+AND(K64&lt;&gt;"",K64&lt;&gt;"Aucune")*1+OR(L64="CHoCH",L64="BOS")*1+(M64="Oui")*1+OR(G64="Londres",G64="New York")*1+(O64="Non")*1)</f>
        <v/>
      </c>
      <c r="Q64" s="27" t="str">
        <f aca="false">IF(P64="","",IF(P64=7,"A+",IF(P64&gt;=5,"B","C")))</f>
        <v/>
      </c>
      <c r="R64" s="29"/>
      <c r="S64" s="29"/>
      <c r="T64" s="27" t="str">
        <f aca="false">IF(OR(R64="",S64=""),"",R64+(R64-S64)*Paramètres!$B$6)</f>
        <v/>
      </c>
      <c r="U64" s="29"/>
      <c r="V64" s="27" t="str">
        <f aca="false">IF(OR(R64="",S64=""),"",ABS(R64-S64))</f>
        <v/>
      </c>
      <c r="W64" s="30" t="str">
        <f aca="false">IF(OR(U64="",V64="",N(V64)=0),"",ABS(U64-R64)/V64)</f>
        <v/>
      </c>
      <c r="X64" s="31"/>
      <c r="Y64" s="29"/>
      <c r="Z64" s="32"/>
      <c r="AA64" s="33" t="str">
        <f aca="false">IF(Y64="","",IF(Y64="Stop",-1,IF(Y64="BE",0,IF(Y64="TP1 + BE",Paramètres!$B$7*Paramètres!$B$6,IF(Y64="TP1 (100 %)",Paramètres!$B$6,IF(Y64="TP2",Paramètres!$B$7*Paramètres!$B$6+(1-Paramètres!$B$7)*N(W64),IF(Y64="Sortie manuelle",N(Z64),"")))))))</f>
        <v/>
      </c>
      <c r="AB64" s="34" t="str">
        <f aca="false">IF(AA64="","",AA64*IF(X64="",Paramètres!$B$5,X64))</f>
        <v/>
      </c>
      <c r="AC64" s="35" t="str">
        <f aca="false">IF(AB64="","",Paramètres!$B$4*(1+SUM(AB$5:AB64)))</f>
        <v/>
      </c>
      <c r="AD64" s="29"/>
      <c r="AE64" s="29"/>
      <c r="AF64" s="29"/>
      <c r="AG64" s="36"/>
      <c r="AH64" s="36"/>
      <c r="AI64" s="33" t="str">
        <f aca="false">IF(AA64="","",SUM(AA$5:AA64))</f>
        <v/>
      </c>
      <c r="AJ64" s="33" t="str">
        <f aca="false">IF(AI64="","",MAX(AI64,MAX(AJ$5:AJ63),0))</f>
        <v/>
      </c>
      <c r="AK64" s="33" t="str">
        <f aca="false">IF(AI64="","",AI64-AJ64)</f>
        <v/>
      </c>
      <c r="AL64" s="25" t="str">
        <f aca="false">IF(AA64="","",IF(AA64&lt;0,N(AL63)+1,0))</f>
        <v/>
      </c>
      <c r="AM64" s="37" t="str">
        <f aca="false">IF(B64="","",B64-WEEKDAY(B64,2)+1)</f>
        <v/>
      </c>
    </row>
    <row r="65" customFormat="false" ht="15" hidden="false" customHeight="false" outlineLevel="0" collapsed="false">
      <c r="A65" s="25" t="str">
        <f aca="false">IF(B65="","",ROW()-4)</f>
        <v/>
      </c>
      <c r="B65" s="26"/>
      <c r="C65" s="27" t="str">
        <f aca="false">IF(B65="","",CHOOSE(WEEKDAY(B65,2),"Lundi","Mardi","Mercredi","Jeudi","Vendredi","Samedi","Dimanche"))</f>
        <v/>
      </c>
      <c r="D65" s="28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5" t="str">
        <f aca="false">IF(B65="","",OR(AND(H65="Achat",I65="Haussier"),AND(H65="Vente",I65="Baissier"))*1+OR(AND(H65="Achat",J65="Discount"),AND(H65="Vente",J65="Premium"))*1+AND(K65&lt;&gt;"",K65&lt;&gt;"Aucune")*1+OR(L65="CHoCH",L65="BOS")*1+(M65="Oui")*1+OR(G65="Londres",G65="New York")*1+(O65="Non")*1)</f>
        <v/>
      </c>
      <c r="Q65" s="27" t="str">
        <f aca="false">IF(P65="","",IF(P65=7,"A+",IF(P65&gt;=5,"B","C")))</f>
        <v/>
      </c>
      <c r="R65" s="29"/>
      <c r="S65" s="29"/>
      <c r="T65" s="27" t="str">
        <f aca="false">IF(OR(R65="",S65=""),"",R65+(R65-S65)*Paramètres!$B$6)</f>
        <v/>
      </c>
      <c r="U65" s="29"/>
      <c r="V65" s="27" t="str">
        <f aca="false">IF(OR(R65="",S65=""),"",ABS(R65-S65))</f>
        <v/>
      </c>
      <c r="W65" s="30" t="str">
        <f aca="false">IF(OR(U65="",V65="",N(V65)=0),"",ABS(U65-R65)/V65)</f>
        <v/>
      </c>
      <c r="X65" s="31"/>
      <c r="Y65" s="29"/>
      <c r="Z65" s="32"/>
      <c r="AA65" s="33" t="str">
        <f aca="false">IF(Y65="","",IF(Y65="Stop",-1,IF(Y65="BE",0,IF(Y65="TP1 + BE",Paramètres!$B$7*Paramètres!$B$6,IF(Y65="TP1 (100 %)",Paramètres!$B$6,IF(Y65="TP2",Paramètres!$B$7*Paramètres!$B$6+(1-Paramètres!$B$7)*N(W65),IF(Y65="Sortie manuelle",N(Z65),"")))))))</f>
        <v/>
      </c>
      <c r="AB65" s="34" t="str">
        <f aca="false">IF(AA65="","",AA65*IF(X65="",Paramètres!$B$5,X65))</f>
        <v/>
      </c>
      <c r="AC65" s="35" t="str">
        <f aca="false">IF(AB65="","",Paramètres!$B$4*(1+SUM(AB$5:AB65)))</f>
        <v/>
      </c>
      <c r="AD65" s="29"/>
      <c r="AE65" s="29"/>
      <c r="AF65" s="29"/>
      <c r="AG65" s="36"/>
      <c r="AH65" s="36"/>
      <c r="AI65" s="33" t="str">
        <f aca="false">IF(AA65="","",SUM(AA$5:AA65))</f>
        <v/>
      </c>
      <c r="AJ65" s="33" t="str">
        <f aca="false">IF(AI65="","",MAX(AI65,MAX(AJ$5:AJ64),0))</f>
        <v/>
      </c>
      <c r="AK65" s="33" t="str">
        <f aca="false">IF(AI65="","",AI65-AJ65)</f>
        <v/>
      </c>
      <c r="AL65" s="25" t="str">
        <f aca="false">IF(AA65="","",IF(AA65&lt;0,N(AL64)+1,0))</f>
        <v/>
      </c>
      <c r="AM65" s="37" t="str">
        <f aca="false">IF(B65="","",B65-WEEKDAY(B65,2)+1)</f>
        <v/>
      </c>
    </row>
    <row r="66" customFormat="false" ht="15" hidden="false" customHeight="false" outlineLevel="0" collapsed="false">
      <c r="A66" s="25" t="str">
        <f aca="false">IF(B66="","",ROW()-4)</f>
        <v/>
      </c>
      <c r="B66" s="26"/>
      <c r="C66" s="27" t="str">
        <f aca="false">IF(B66="","",CHOOSE(WEEKDAY(B66,2),"Lundi","Mardi","Mercredi","Jeudi","Vendredi","Samedi","Dimanche"))</f>
        <v/>
      </c>
      <c r="D66" s="28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5" t="str">
        <f aca="false">IF(B66="","",OR(AND(H66="Achat",I66="Haussier"),AND(H66="Vente",I66="Baissier"))*1+OR(AND(H66="Achat",J66="Discount"),AND(H66="Vente",J66="Premium"))*1+AND(K66&lt;&gt;"",K66&lt;&gt;"Aucune")*1+OR(L66="CHoCH",L66="BOS")*1+(M66="Oui")*1+OR(G66="Londres",G66="New York")*1+(O66="Non")*1)</f>
        <v/>
      </c>
      <c r="Q66" s="27" t="str">
        <f aca="false">IF(P66="","",IF(P66=7,"A+",IF(P66&gt;=5,"B","C")))</f>
        <v/>
      </c>
      <c r="R66" s="29"/>
      <c r="S66" s="29"/>
      <c r="T66" s="27" t="str">
        <f aca="false">IF(OR(R66="",S66=""),"",R66+(R66-S66)*Paramètres!$B$6)</f>
        <v/>
      </c>
      <c r="U66" s="29"/>
      <c r="V66" s="27" t="str">
        <f aca="false">IF(OR(R66="",S66=""),"",ABS(R66-S66))</f>
        <v/>
      </c>
      <c r="W66" s="30" t="str">
        <f aca="false">IF(OR(U66="",V66="",N(V66)=0),"",ABS(U66-R66)/V66)</f>
        <v/>
      </c>
      <c r="X66" s="31"/>
      <c r="Y66" s="29"/>
      <c r="Z66" s="32"/>
      <c r="AA66" s="33" t="str">
        <f aca="false">IF(Y66="","",IF(Y66="Stop",-1,IF(Y66="BE",0,IF(Y66="TP1 + BE",Paramètres!$B$7*Paramètres!$B$6,IF(Y66="TP1 (100 %)",Paramètres!$B$6,IF(Y66="TP2",Paramètres!$B$7*Paramètres!$B$6+(1-Paramètres!$B$7)*N(W66),IF(Y66="Sortie manuelle",N(Z66),"")))))))</f>
        <v/>
      </c>
      <c r="AB66" s="34" t="str">
        <f aca="false">IF(AA66="","",AA66*IF(X66="",Paramètres!$B$5,X66))</f>
        <v/>
      </c>
      <c r="AC66" s="35" t="str">
        <f aca="false">IF(AB66="","",Paramètres!$B$4*(1+SUM(AB$5:AB66)))</f>
        <v/>
      </c>
      <c r="AD66" s="29"/>
      <c r="AE66" s="29"/>
      <c r="AF66" s="29"/>
      <c r="AG66" s="36"/>
      <c r="AH66" s="36"/>
      <c r="AI66" s="33" t="str">
        <f aca="false">IF(AA66="","",SUM(AA$5:AA66))</f>
        <v/>
      </c>
      <c r="AJ66" s="33" t="str">
        <f aca="false">IF(AI66="","",MAX(AI66,MAX(AJ$5:AJ65),0))</f>
        <v/>
      </c>
      <c r="AK66" s="33" t="str">
        <f aca="false">IF(AI66="","",AI66-AJ66)</f>
        <v/>
      </c>
      <c r="AL66" s="25" t="str">
        <f aca="false">IF(AA66="","",IF(AA66&lt;0,N(AL65)+1,0))</f>
        <v/>
      </c>
      <c r="AM66" s="37" t="str">
        <f aca="false">IF(B66="","",B66-WEEKDAY(B66,2)+1)</f>
        <v/>
      </c>
    </row>
    <row r="67" customFormat="false" ht="15" hidden="false" customHeight="false" outlineLevel="0" collapsed="false">
      <c r="A67" s="25" t="str">
        <f aca="false">IF(B67="","",ROW()-4)</f>
        <v/>
      </c>
      <c r="B67" s="26"/>
      <c r="C67" s="27" t="str">
        <f aca="false">IF(B67="","",CHOOSE(WEEKDAY(B67,2),"Lundi","Mardi","Mercredi","Jeudi","Vendredi","Samedi","Dimanche"))</f>
        <v/>
      </c>
      <c r="D67" s="28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5" t="str">
        <f aca="false">IF(B67="","",OR(AND(H67="Achat",I67="Haussier"),AND(H67="Vente",I67="Baissier"))*1+OR(AND(H67="Achat",J67="Discount"),AND(H67="Vente",J67="Premium"))*1+AND(K67&lt;&gt;"",K67&lt;&gt;"Aucune")*1+OR(L67="CHoCH",L67="BOS")*1+(M67="Oui")*1+OR(G67="Londres",G67="New York")*1+(O67="Non")*1)</f>
        <v/>
      </c>
      <c r="Q67" s="27" t="str">
        <f aca="false">IF(P67="","",IF(P67=7,"A+",IF(P67&gt;=5,"B","C")))</f>
        <v/>
      </c>
      <c r="R67" s="29"/>
      <c r="S67" s="29"/>
      <c r="T67" s="27" t="str">
        <f aca="false">IF(OR(R67="",S67=""),"",R67+(R67-S67)*Paramètres!$B$6)</f>
        <v/>
      </c>
      <c r="U67" s="29"/>
      <c r="V67" s="27" t="str">
        <f aca="false">IF(OR(R67="",S67=""),"",ABS(R67-S67))</f>
        <v/>
      </c>
      <c r="W67" s="30" t="str">
        <f aca="false">IF(OR(U67="",V67="",N(V67)=0),"",ABS(U67-R67)/V67)</f>
        <v/>
      </c>
      <c r="X67" s="31"/>
      <c r="Y67" s="29"/>
      <c r="Z67" s="32"/>
      <c r="AA67" s="33" t="str">
        <f aca="false">IF(Y67="","",IF(Y67="Stop",-1,IF(Y67="BE",0,IF(Y67="TP1 + BE",Paramètres!$B$7*Paramètres!$B$6,IF(Y67="TP1 (100 %)",Paramètres!$B$6,IF(Y67="TP2",Paramètres!$B$7*Paramètres!$B$6+(1-Paramètres!$B$7)*N(W67),IF(Y67="Sortie manuelle",N(Z67),"")))))))</f>
        <v/>
      </c>
      <c r="AB67" s="34" t="str">
        <f aca="false">IF(AA67="","",AA67*IF(X67="",Paramètres!$B$5,X67))</f>
        <v/>
      </c>
      <c r="AC67" s="35" t="str">
        <f aca="false">IF(AB67="","",Paramètres!$B$4*(1+SUM(AB$5:AB67)))</f>
        <v/>
      </c>
      <c r="AD67" s="29"/>
      <c r="AE67" s="29"/>
      <c r="AF67" s="29"/>
      <c r="AG67" s="36"/>
      <c r="AH67" s="36"/>
      <c r="AI67" s="33" t="str">
        <f aca="false">IF(AA67="","",SUM(AA$5:AA67))</f>
        <v/>
      </c>
      <c r="AJ67" s="33" t="str">
        <f aca="false">IF(AI67="","",MAX(AI67,MAX(AJ$5:AJ66),0))</f>
        <v/>
      </c>
      <c r="AK67" s="33" t="str">
        <f aca="false">IF(AI67="","",AI67-AJ67)</f>
        <v/>
      </c>
      <c r="AL67" s="25" t="str">
        <f aca="false">IF(AA67="","",IF(AA67&lt;0,N(AL66)+1,0))</f>
        <v/>
      </c>
      <c r="AM67" s="37" t="str">
        <f aca="false">IF(B67="","",B67-WEEKDAY(B67,2)+1)</f>
        <v/>
      </c>
    </row>
    <row r="68" customFormat="false" ht="15" hidden="false" customHeight="false" outlineLevel="0" collapsed="false">
      <c r="A68" s="25" t="str">
        <f aca="false">IF(B68="","",ROW()-4)</f>
        <v/>
      </c>
      <c r="B68" s="26"/>
      <c r="C68" s="27" t="str">
        <f aca="false">IF(B68="","",CHOOSE(WEEKDAY(B68,2),"Lundi","Mardi","Mercredi","Jeudi","Vendredi","Samedi","Dimanche"))</f>
        <v/>
      </c>
      <c r="D68" s="28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5" t="str">
        <f aca="false">IF(B68="","",OR(AND(H68="Achat",I68="Haussier"),AND(H68="Vente",I68="Baissier"))*1+OR(AND(H68="Achat",J68="Discount"),AND(H68="Vente",J68="Premium"))*1+AND(K68&lt;&gt;"",K68&lt;&gt;"Aucune")*1+OR(L68="CHoCH",L68="BOS")*1+(M68="Oui")*1+OR(G68="Londres",G68="New York")*1+(O68="Non")*1)</f>
        <v/>
      </c>
      <c r="Q68" s="27" t="str">
        <f aca="false">IF(P68="","",IF(P68=7,"A+",IF(P68&gt;=5,"B","C")))</f>
        <v/>
      </c>
      <c r="R68" s="29"/>
      <c r="S68" s="29"/>
      <c r="T68" s="27" t="str">
        <f aca="false">IF(OR(R68="",S68=""),"",R68+(R68-S68)*Paramètres!$B$6)</f>
        <v/>
      </c>
      <c r="U68" s="29"/>
      <c r="V68" s="27" t="str">
        <f aca="false">IF(OR(R68="",S68=""),"",ABS(R68-S68))</f>
        <v/>
      </c>
      <c r="W68" s="30" t="str">
        <f aca="false">IF(OR(U68="",V68="",N(V68)=0),"",ABS(U68-R68)/V68)</f>
        <v/>
      </c>
      <c r="X68" s="31"/>
      <c r="Y68" s="29"/>
      <c r="Z68" s="32"/>
      <c r="AA68" s="33" t="str">
        <f aca="false">IF(Y68="","",IF(Y68="Stop",-1,IF(Y68="BE",0,IF(Y68="TP1 + BE",Paramètres!$B$7*Paramètres!$B$6,IF(Y68="TP1 (100 %)",Paramètres!$B$6,IF(Y68="TP2",Paramètres!$B$7*Paramètres!$B$6+(1-Paramètres!$B$7)*N(W68),IF(Y68="Sortie manuelle",N(Z68),"")))))))</f>
        <v/>
      </c>
      <c r="AB68" s="34" t="str">
        <f aca="false">IF(AA68="","",AA68*IF(X68="",Paramètres!$B$5,X68))</f>
        <v/>
      </c>
      <c r="AC68" s="35" t="str">
        <f aca="false">IF(AB68="","",Paramètres!$B$4*(1+SUM(AB$5:AB68)))</f>
        <v/>
      </c>
      <c r="AD68" s="29"/>
      <c r="AE68" s="29"/>
      <c r="AF68" s="29"/>
      <c r="AG68" s="36"/>
      <c r="AH68" s="36"/>
      <c r="AI68" s="33" t="str">
        <f aca="false">IF(AA68="","",SUM(AA$5:AA68))</f>
        <v/>
      </c>
      <c r="AJ68" s="33" t="str">
        <f aca="false">IF(AI68="","",MAX(AI68,MAX(AJ$5:AJ67),0))</f>
        <v/>
      </c>
      <c r="AK68" s="33" t="str">
        <f aca="false">IF(AI68="","",AI68-AJ68)</f>
        <v/>
      </c>
      <c r="AL68" s="25" t="str">
        <f aca="false">IF(AA68="","",IF(AA68&lt;0,N(AL67)+1,0))</f>
        <v/>
      </c>
      <c r="AM68" s="37" t="str">
        <f aca="false">IF(B68="","",B68-WEEKDAY(B68,2)+1)</f>
        <v/>
      </c>
    </row>
    <row r="69" customFormat="false" ht="15" hidden="false" customHeight="false" outlineLevel="0" collapsed="false">
      <c r="A69" s="25" t="str">
        <f aca="false">IF(B69="","",ROW()-4)</f>
        <v/>
      </c>
      <c r="B69" s="26"/>
      <c r="C69" s="27" t="str">
        <f aca="false">IF(B69="","",CHOOSE(WEEKDAY(B69,2),"Lundi","Mardi","Mercredi","Jeudi","Vendredi","Samedi","Dimanche"))</f>
        <v/>
      </c>
      <c r="D69" s="28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5" t="str">
        <f aca="false">IF(B69="","",OR(AND(H69="Achat",I69="Haussier"),AND(H69="Vente",I69="Baissier"))*1+OR(AND(H69="Achat",J69="Discount"),AND(H69="Vente",J69="Premium"))*1+AND(K69&lt;&gt;"",K69&lt;&gt;"Aucune")*1+OR(L69="CHoCH",L69="BOS")*1+(M69="Oui")*1+OR(G69="Londres",G69="New York")*1+(O69="Non")*1)</f>
        <v/>
      </c>
      <c r="Q69" s="27" t="str">
        <f aca="false">IF(P69="","",IF(P69=7,"A+",IF(P69&gt;=5,"B","C")))</f>
        <v/>
      </c>
      <c r="R69" s="29"/>
      <c r="S69" s="29"/>
      <c r="T69" s="27" t="str">
        <f aca="false">IF(OR(R69="",S69=""),"",R69+(R69-S69)*Paramètres!$B$6)</f>
        <v/>
      </c>
      <c r="U69" s="29"/>
      <c r="V69" s="27" t="str">
        <f aca="false">IF(OR(R69="",S69=""),"",ABS(R69-S69))</f>
        <v/>
      </c>
      <c r="W69" s="30" t="str">
        <f aca="false">IF(OR(U69="",V69="",N(V69)=0),"",ABS(U69-R69)/V69)</f>
        <v/>
      </c>
      <c r="X69" s="31"/>
      <c r="Y69" s="29"/>
      <c r="Z69" s="32"/>
      <c r="AA69" s="33" t="str">
        <f aca="false">IF(Y69="","",IF(Y69="Stop",-1,IF(Y69="BE",0,IF(Y69="TP1 + BE",Paramètres!$B$7*Paramètres!$B$6,IF(Y69="TP1 (100 %)",Paramètres!$B$6,IF(Y69="TP2",Paramètres!$B$7*Paramètres!$B$6+(1-Paramètres!$B$7)*N(W69),IF(Y69="Sortie manuelle",N(Z69),"")))))))</f>
        <v/>
      </c>
      <c r="AB69" s="34" t="str">
        <f aca="false">IF(AA69="","",AA69*IF(X69="",Paramètres!$B$5,X69))</f>
        <v/>
      </c>
      <c r="AC69" s="35" t="str">
        <f aca="false">IF(AB69="","",Paramètres!$B$4*(1+SUM(AB$5:AB69)))</f>
        <v/>
      </c>
      <c r="AD69" s="29"/>
      <c r="AE69" s="29"/>
      <c r="AF69" s="29"/>
      <c r="AG69" s="36"/>
      <c r="AH69" s="36"/>
      <c r="AI69" s="33" t="str">
        <f aca="false">IF(AA69="","",SUM(AA$5:AA69))</f>
        <v/>
      </c>
      <c r="AJ69" s="33" t="str">
        <f aca="false">IF(AI69="","",MAX(AI69,MAX(AJ$5:AJ68),0))</f>
        <v/>
      </c>
      <c r="AK69" s="33" t="str">
        <f aca="false">IF(AI69="","",AI69-AJ69)</f>
        <v/>
      </c>
      <c r="AL69" s="25" t="str">
        <f aca="false">IF(AA69="","",IF(AA69&lt;0,N(AL68)+1,0))</f>
        <v/>
      </c>
      <c r="AM69" s="37" t="str">
        <f aca="false">IF(B69="","",B69-WEEKDAY(B69,2)+1)</f>
        <v/>
      </c>
    </row>
    <row r="70" customFormat="false" ht="15" hidden="false" customHeight="false" outlineLevel="0" collapsed="false">
      <c r="A70" s="25" t="str">
        <f aca="false">IF(B70="","",ROW()-4)</f>
        <v/>
      </c>
      <c r="B70" s="26"/>
      <c r="C70" s="27" t="str">
        <f aca="false">IF(B70="","",CHOOSE(WEEKDAY(B70,2),"Lundi","Mardi","Mercredi","Jeudi","Vendredi","Samedi","Dimanche"))</f>
        <v/>
      </c>
      <c r="D70" s="28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5" t="str">
        <f aca="false">IF(B70="","",OR(AND(H70="Achat",I70="Haussier"),AND(H70="Vente",I70="Baissier"))*1+OR(AND(H70="Achat",J70="Discount"),AND(H70="Vente",J70="Premium"))*1+AND(K70&lt;&gt;"",K70&lt;&gt;"Aucune")*1+OR(L70="CHoCH",L70="BOS")*1+(M70="Oui")*1+OR(G70="Londres",G70="New York")*1+(O70="Non")*1)</f>
        <v/>
      </c>
      <c r="Q70" s="27" t="str">
        <f aca="false">IF(P70="","",IF(P70=7,"A+",IF(P70&gt;=5,"B","C")))</f>
        <v/>
      </c>
      <c r="R70" s="29"/>
      <c r="S70" s="29"/>
      <c r="T70" s="27" t="str">
        <f aca="false">IF(OR(R70="",S70=""),"",R70+(R70-S70)*Paramètres!$B$6)</f>
        <v/>
      </c>
      <c r="U70" s="29"/>
      <c r="V70" s="27" t="str">
        <f aca="false">IF(OR(R70="",S70=""),"",ABS(R70-S70))</f>
        <v/>
      </c>
      <c r="W70" s="30" t="str">
        <f aca="false">IF(OR(U70="",V70="",N(V70)=0),"",ABS(U70-R70)/V70)</f>
        <v/>
      </c>
      <c r="X70" s="31"/>
      <c r="Y70" s="29"/>
      <c r="Z70" s="32"/>
      <c r="AA70" s="33" t="str">
        <f aca="false">IF(Y70="","",IF(Y70="Stop",-1,IF(Y70="BE",0,IF(Y70="TP1 + BE",Paramètres!$B$7*Paramètres!$B$6,IF(Y70="TP1 (100 %)",Paramètres!$B$6,IF(Y70="TP2",Paramètres!$B$7*Paramètres!$B$6+(1-Paramètres!$B$7)*N(W70),IF(Y70="Sortie manuelle",N(Z70),"")))))))</f>
        <v/>
      </c>
      <c r="AB70" s="34" t="str">
        <f aca="false">IF(AA70="","",AA70*IF(X70="",Paramètres!$B$5,X70))</f>
        <v/>
      </c>
      <c r="AC70" s="35" t="str">
        <f aca="false">IF(AB70="","",Paramètres!$B$4*(1+SUM(AB$5:AB70)))</f>
        <v/>
      </c>
      <c r="AD70" s="29"/>
      <c r="AE70" s="29"/>
      <c r="AF70" s="29"/>
      <c r="AG70" s="36"/>
      <c r="AH70" s="36"/>
      <c r="AI70" s="33" t="str">
        <f aca="false">IF(AA70="","",SUM(AA$5:AA70))</f>
        <v/>
      </c>
      <c r="AJ70" s="33" t="str">
        <f aca="false">IF(AI70="","",MAX(AI70,MAX(AJ$5:AJ69),0))</f>
        <v/>
      </c>
      <c r="AK70" s="33" t="str">
        <f aca="false">IF(AI70="","",AI70-AJ70)</f>
        <v/>
      </c>
      <c r="AL70" s="25" t="str">
        <f aca="false">IF(AA70="","",IF(AA70&lt;0,N(AL69)+1,0))</f>
        <v/>
      </c>
      <c r="AM70" s="37" t="str">
        <f aca="false">IF(B70="","",B70-WEEKDAY(B70,2)+1)</f>
        <v/>
      </c>
    </row>
    <row r="71" customFormat="false" ht="15" hidden="false" customHeight="false" outlineLevel="0" collapsed="false">
      <c r="A71" s="25" t="str">
        <f aca="false">IF(B71="","",ROW()-4)</f>
        <v/>
      </c>
      <c r="B71" s="26"/>
      <c r="C71" s="27" t="str">
        <f aca="false">IF(B71="","",CHOOSE(WEEKDAY(B71,2),"Lundi","Mardi","Mercredi","Jeudi","Vendredi","Samedi","Dimanche"))</f>
        <v/>
      </c>
      <c r="D71" s="28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5" t="str">
        <f aca="false">IF(B71="","",OR(AND(H71="Achat",I71="Haussier"),AND(H71="Vente",I71="Baissier"))*1+OR(AND(H71="Achat",J71="Discount"),AND(H71="Vente",J71="Premium"))*1+AND(K71&lt;&gt;"",K71&lt;&gt;"Aucune")*1+OR(L71="CHoCH",L71="BOS")*1+(M71="Oui")*1+OR(G71="Londres",G71="New York")*1+(O71="Non")*1)</f>
        <v/>
      </c>
      <c r="Q71" s="27" t="str">
        <f aca="false">IF(P71="","",IF(P71=7,"A+",IF(P71&gt;=5,"B","C")))</f>
        <v/>
      </c>
      <c r="R71" s="29"/>
      <c r="S71" s="29"/>
      <c r="T71" s="27" t="str">
        <f aca="false">IF(OR(R71="",S71=""),"",R71+(R71-S71)*Paramètres!$B$6)</f>
        <v/>
      </c>
      <c r="U71" s="29"/>
      <c r="V71" s="27" t="str">
        <f aca="false">IF(OR(R71="",S71=""),"",ABS(R71-S71))</f>
        <v/>
      </c>
      <c r="W71" s="30" t="str">
        <f aca="false">IF(OR(U71="",V71="",N(V71)=0),"",ABS(U71-R71)/V71)</f>
        <v/>
      </c>
      <c r="X71" s="31"/>
      <c r="Y71" s="29"/>
      <c r="Z71" s="32"/>
      <c r="AA71" s="33" t="str">
        <f aca="false">IF(Y71="","",IF(Y71="Stop",-1,IF(Y71="BE",0,IF(Y71="TP1 + BE",Paramètres!$B$7*Paramètres!$B$6,IF(Y71="TP1 (100 %)",Paramètres!$B$6,IF(Y71="TP2",Paramètres!$B$7*Paramètres!$B$6+(1-Paramètres!$B$7)*N(W71),IF(Y71="Sortie manuelle",N(Z71),"")))))))</f>
        <v/>
      </c>
      <c r="AB71" s="34" t="str">
        <f aca="false">IF(AA71="","",AA71*IF(X71="",Paramètres!$B$5,X71))</f>
        <v/>
      </c>
      <c r="AC71" s="35" t="str">
        <f aca="false">IF(AB71="","",Paramètres!$B$4*(1+SUM(AB$5:AB71)))</f>
        <v/>
      </c>
      <c r="AD71" s="29"/>
      <c r="AE71" s="29"/>
      <c r="AF71" s="29"/>
      <c r="AG71" s="36"/>
      <c r="AH71" s="36"/>
      <c r="AI71" s="33" t="str">
        <f aca="false">IF(AA71="","",SUM(AA$5:AA71))</f>
        <v/>
      </c>
      <c r="AJ71" s="33" t="str">
        <f aca="false">IF(AI71="","",MAX(AI71,MAX(AJ$5:AJ70),0))</f>
        <v/>
      </c>
      <c r="AK71" s="33" t="str">
        <f aca="false">IF(AI71="","",AI71-AJ71)</f>
        <v/>
      </c>
      <c r="AL71" s="25" t="str">
        <f aca="false">IF(AA71="","",IF(AA71&lt;0,N(AL70)+1,0))</f>
        <v/>
      </c>
      <c r="AM71" s="37" t="str">
        <f aca="false">IF(B71="","",B71-WEEKDAY(B71,2)+1)</f>
        <v/>
      </c>
    </row>
    <row r="72" customFormat="false" ht="15" hidden="false" customHeight="false" outlineLevel="0" collapsed="false">
      <c r="A72" s="25" t="str">
        <f aca="false">IF(B72="","",ROW()-4)</f>
        <v/>
      </c>
      <c r="B72" s="26"/>
      <c r="C72" s="27" t="str">
        <f aca="false">IF(B72="","",CHOOSE(WEEKDAY(B72,2),"Lundi","Mardi","Mercredi","Jeudi","Vendredi","Samedi","Dimanche"))</f>
        <v/>
      </c>
      <c r="D72" s="28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5" t="str">
        <f aca="false">IF(B72="","",OR(AND(H72="Achat",I72="Haussier"),AND(H72="Vente",I72="Baissier"))*1+OR(AND(H72="Achat",J72="Discount"),AND(H72="Vente",J72="Premium"))*1+AND(K72&lt;&gt;"",K72&lt;&gt;"Aucune")*1+OR(L72="CHoCH",L72="BOS")*1+(M72="Oui")*1+OR(G72="Londres",G72="New York")*1+(O72="Non")*1)</f>
        <v/>
      </c>
      <c r="Q72" s="27" t="str">
        <f aca="false">IF(P72="","",IF(P72=7,"A+",IF(P72&gt;=5,"B","C")))</f>
        <v/>
      </c>
      <c r="R72" s="29"/>
      <c r="S72" s="29"/>
      <c r="T72" s="27" t="str">
        <f aca="false">IF(OR(R72="",S72=""),"",R72+(R72-S72)*Paramètres!$B$6)</f>
        <v/>
      </c>
      <c r="U72" s="29"/>
      <c r="V72" s="27" t="str">
        <f aca="false">IF(OR(R72="",S72=""),"",ABS(R72-S72))</f>
        <v/>
      </c>
      <c r="W72" s="30" t="str">
        <f aca="false">IF(OR(U72="",V72="",N(V72)=0),"",ABS(U72-R72)/V72)</f>
        <v/>
      </c>
      <c r="X72" s="31"/>
      <c r="Y72" s="29"/>
      <c r="Z72" s="32"/>
      <c r="AA72" s="33" t="str">
        <f aca="false">IF(Y72="","",IF(Y72="Stop",-1,IF(Y72="BE",0,IF(Y72="TP1 + BE",Paramètres!$B$7*Paramètres!$B$6,IF(Y72="TP1 (100 %)",Paramètres!$B$6,IF(Y72="TP2",Paramètres!$B$7*Paramètres!$B$6+(1-Paramètres!$B$7)*N(W72),IF(Y72="Sortie manuelle",N(Z72),"")))))))</f>
        <v/>
      </c>
      <c r="AB72" s="34" t="str">
        <f aca="false">IF(AA72="","",AA72*IF(X72="",Paramètres!$B$5,X72))</f>
        <v/>
      </c>
      <c r="AC72" s="35" t="str">
        <f aca="false">IF(AB72="","",Paramètres!$B$4*(1+SUM(AB$5:AB72)))</f>
        <v/>
      </c>
      <c r="AD72" s="29"/>
      <c r="AE72" s="29"/>
      <c r="AF72" s="29"/>
      <c r="AG72" s="36"/>
      <c r="AH72" s="36"/>
      <c r="AI72" s="33" t="str">
        <f aca="false">IF(AA72="","",SUM(AA$5:AA72))</f>
        <v/>
      </c>
      <c r="AJ72" s="33" t="str">
        <f aca="false">IF(AI72="","",MAX(AI72,MAX(AJ$5:AJ71),0))</f>
        <v/>
      </c>
      <c r="AK72" s="33" t="str">
        <f aca="false">IF(AI72="","",AI72-AJ72)</f>
        <v/>
      </c>
      <c r="AL72" s="25" t="str">
        <f aca="false">IF(AA72="","",IF(AA72&lt;0,N(AL71)+1,0))</f>
        <v/>
      </c>
      <c r="AM72" s="37" t="str">
        <f aca="false">IF(B72="","",B72-WEEKDAY(B72,2)+1)</f>
        <v/>
      </c>
    </row>
    <row r="73" customFormat="false" ht="15" hidden="false" customHeight="false" outlineLevel="0" collapsed="false">
      <c r="A73" s="25" t="str">
        <f aca="false">IF(B73="","",ROW()-4)</f>
        <v/>
      </c>
      <c r="B73" s="26"/>
      <c r="C73" s="27" t="str">
        <f aca="false">IF(B73="","",CHOOSE(WEEKDAY(B73,2),"Lundi","Mardi","Mercredi","Jeudi","Vendredi","Samedi","Dimanche"))</f>
        <v/>
      </c>
      <c r="D73" s="28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5" t="str">
        <f aca="false">IF(B73="","",OR(AND(H73="Achat",I73="Haussier"),AND(H73="Vente",I73="Baissier"))*1+OR(AND(H73="Achat",J73="Discount"),AND(H73="Vente",J73="Premium"))*1+AND(K73&lt;&gt;"",K73&lt;&gt;"Aucune")*1+OR(L73="CHoCH",L73="BOS")*1+(M73="Oui")*1+OR(G73="Londres",G73="New York")*1+(O73="Non")*1)</f>
        <v/>
      </c>
      <c r="Q73" s="27" t="str">
        <f aca="false">IF(P73="","",IF(P73=7,"A+",IF(P73&gt;=5,"B","C")))</f>
        <v/>
      </c>
      <c r="R73" s="29"/>
      <c r="S73" s="29"/>
      <c r="T73" s="27" t="str">
        <f aca="false">IF(OR(R73="",S73=""),"",R73+(R73-S73)*Paramètres!$B$6)</f>
        <v/>
      </c>
      <c r="U73" s="29"/>
      <c r="V73" s="27" t="str">
        <f aca="false">IF(OR(R73="",S73=""),"",ABS(R73-S73))</f>
        <v/>
      </c>
      <c r="W73" s="30" t="str">
        <f aca="false">IF(OR(U73="",V73="",N(V73)=0),"",ABS(U73-R73)/V73)</f>
        <v/>
      </c>
      <c r="X73" s="31"/>
      <c r="Y73" s="29"/>
      <c r="Z73" s="32"/>
      <c r="AA73" s="33" t="str">
        <f aca="false">IF(Y73="","",IF(Y73="Stop",-1,IF(Y73="BE",0,IF(Y73="TP1 + BE",Paramètres!$B$7*Paramètres!$B$6,IF(Y73="TP1 (100 %)",Paramètres!$B$6,IF(Y73="TP2",Paramètres!$B$7*Paramètres!$B$6+(1-Paramètres!$B$7)*N(W73),IF(Y73="Sortie manuelle",N(Z73),"")))))))</f>
        <v/>
      </c>
      <c r="AB73" s="34" t="str">
        <f aca="false">IF(AA73="","",AA73*IF(X73="",Paramètres!$B$5,X73))</f>
        <v/>
      </c>
      <c r="AC73" s="35" t="str">
        <f aca="false">IF(AB73="","",Paramètres!$B$4*(1+SUM(AB$5:AB73)))</f>
        <v/>
      </c>
      <c r="AD73" s="29"/>
      <c r="AE73" s="29"/>
      <c r="AF73" s="29"/>
      <c r="AG73" s="36"/>
      <c r="AH73" s="36"/>
      <c r="AI73" s="33" t="str">
        <f aca="false">IF(AA73="","",SUM(AA$5:AA73))</f>
        <v/>
      </c>
      <c r="AJ73" s="33" t="str">
        <f aca="false">IF(AI73="","",MAX(AI73,MAX(AJ$5:AJ72),0))</f>
        <v/>
      </c>
      <c r="AK73" s="33" t="str">
        <f aca="false">IF(AI73="","",AI73-AJ73)</f>
        <v/>
      </c>
      <c r="AL73" s="25" t="str">
        <f aca="false">IF(AA73="","",IF(AA73&lt;0,N(AL72)+1,0))</f>
        <v/>
      </c>
      <c r="AM73" s="37" t="str">
        <f aca="false">IF(B73="","",B73-WEEKDAY(B73,2)+1)</f>
        <v/>
      </c>
    </row>
    <row r="74" customFormat="false" ht="15" hidden="false" customHeight="false" outlineLevel="0" collapsed="false">
      <c r="A74" s="25" t="str">
        <f aca="false">IF(B74="","",ROW()-4)</f>
        <v/>
      </c>
      <c r="B74" s="26"/>
      <c r="C74" s="27" t="str">
        <f aca="false">IF(B74="","",CHOOSE(WEEKDAY(B74,2),"Lundi","Mardi","Mercredi","Jeudi","Vendredi","Samedi","Dimanche"))</f>
        <v/>
      </c>
      <c r="D74" s="28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5" t="str">
        <f aca="false">IF(B74="","",OR(AND(H74="Achat",I74="Haussier"),AND(H74="Vente",I74="Baissier"))*1+OR(AND(H74="Achat",J74="Discount"),AND(H74="Vente",J74="Premium"))*1+AND(K74&lt;&gt;"",K74&lt;&gt;"Aucune")*1+OR(L74="CHoCH",L74="BOS")*1+(M74="Oui")*1+OR(G74="Londres",G74="New York")*1+(O74="Non")*1)</f>
        <v/>
      </c>
      <c r="Q74" s="27" t="str">
        <f aca="false">IF(P74="","",IF(P74=7,"A+",IF(P74&gt;=5,"B","C")))</f>
        <v/>
      </c>
      <c r="R74" s="29"/>
      <c r="S74" s="29"/>
      <c r="T74" s="27" t="str">
        <f aca="false">IF(OR(R74="",S74=""),"",R74+(R74-S74)*Paramètres!$B$6)</f>
        <v/>
      </c>
      <c r="U74" s="29"/>
      <c r="V74" s="27" t="str">
        <f aca="false">IF(OR(R74="",S74=""),"",ABS(R74-S74))</f>
        <v/>
      </c>
      <c r="W74" s="30" t="str">
        <f aca="false">IF(OR(U74="",V74="",N(V74)=0),"",ABS(U74-R74)/V74)</f>
        <v/>
      </c>
      <c r="X74" s="31"/>
      <c r="Y74" s="29"/>
      <c r="Z74" s="32"/>
      <c r="AA74" s="33" t="str">
        <f aca="false">IF(Y74="","",IF(Y74="Stop",-1,IF(Y74="BE",0,IF(Y74="TP1 + BE",Paramètres!$B$7*Paramètres!$B$6,IF(Y74="TP1 (100 %)",Paramètres!$B$6,IF(Y74="TP2",Paramètres!$B$7*Paramètres!$B$6+(1-Paramètres!$B$7)*N(W74),IF(Y74="Sortie manuelle",N(Z74),"")))))))</f>
        <v/>
      </c>
      <c r="AB74" s="34" t="str">
        <f aca="false">IF(AA74="","",AA74*IF(X74="",Paramètres!$B$5,X74))</f>
        <v/>
      </c>
      <c r="AC74" s="35" t="str">
        <f aca="false">IF(AB74="","",Paramètres!$B$4*(1+SUM(AB$5:AB74)))</f>
        <v/>
      </c>
      <c r="AD74" s="29"/>
      <c r="AE74" s="29"/>
      <c r="AF74" s="29"/>
      <c r="AG74" s="36"/>
      <c r="AH74" s="36"/>
      <c r="AI74" s="33" t="str">
        <f aca="false">IF(AA74="","",SUM(AA$5:AA74))</f>
        <v/>
      </c>
      <c r="AJ74" s="33" t="str">
        <f aca="false">IF(AI74="","",MAX(AI74,MAX(AJ$5:AJ73),0))</f>
        <v/>
      </c>
      <c r="AK74" s="33" t="str">
        <f aca="false">IF(AI74="","",AI74-AJ74)</f>
        <v/>
      </c>
      <c r="AL74" s="25" t="str">
        <f aca="false">IF(AA74="","",IF(AA74&lt;0,N(AL73)+1,0))</f>
        <v/>
      </c>
      <c r="AM74" s="37" t="str">
        <f aca="false">IF(B74="","",B74-WEEKDAY(B74,2)+1)</f>
        <v/>
      </c>
    </row>
    <row r="75" customFormat="false" ht="15" hidden="false" customHeight="false" outlineLevel="0" collapsed="false">
      <c r="A75" s="25" t="str">
        <f aca="false">IF(B75="","",ROW()-4)</f>
        <v/>
      </c>
      <c r="B75" s="26"/>
      <c r="C75" s="27" t="str">
        <f aca="false">IF(B75="","",CHOOSE(WEEKDAY(B75,2),"Lundi","Mardi","Mercredi","Jeudi","Vendredi","Samedi","Dimanche"))</f>
        <v/>
      </c>
      <c r="D75" s="28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5" t="str">
        <f aca="false">IF(B75="","",OR(AND(H75="Achat",I75="Haussier"),AND(H75="Vente",I75="Baissier"))*1+OR(AND(H75="Achat",J75="Discount"),AND(H75="Vente",J75="Premium"))*1+AND(K75&lt;&gt;"",K75&lt;&gt;"Aucune")*1+OR(L75="CHoCH",L75="BOS")*1+(M75="Oui")*1+OR(G75="Londres",G75="New York")*1+(O75="Non")*1)</f>
        <v/>
      </c>
      <c r="Q75" s="27" t="str">
        <f aca="false">IF(P75="","",IF(P75=7,"A+",IF(P75&gt;=5,"B","C")))</f>
        <v/>
      </c>
      <c r="R75" s="29"/>
      <c r="S75" s="29"/>
      <c r="T75" s="27" t="str">
        <f aca="false">IF(OR(R75="",S75=""),"",R75+(R75-S75)*Paramètres!$B$6)</f>
        <v/>
      </c>
      <c r="U75" s="29"/>
      <c r="V75" s="27" t="str">
        <f aca="false">IF(OR(R75="",S75=""),"",ABS(R75-S75))</f>
        <v/>
      </c>
      <c r="W75" s="30" t="str">
        <f aca="false">IF(OR(U75="",V75="",N(V75)=0),"",ABS(U75-R75)/V75)</f>
        <v/>
      </c>
      <c r="X75" s="31"/>
      <c r="Y75" s="29"/>
      <c r="Z75" s="32"/>
      <c r="AA75" s="33" t="str">
        <f aca="false">IF(Y75="","",IF(Y75="Stop",-1,IF(Y75="BE",0,IF(Y75="TP1 + BE",Paramètres!$B$7*Paramètres!$B$6,IF(Y75="TP1 (100 %)",Paramètres!$B$6,IF(Y75="TP2",Paramètres!$B$7*Paramètres!$B$6+(1-Paramètres!$B$7)*N(W75),IF(Y75="Sortie manuelle",N(Z75),"")))))))</f>
        <v/>
      </c>
      <c r="AB75" s="34" t="str">
        <f aca="false">IF(AA75="","",AA75*IF(X75="",Paramètres!$B$5,X75))</f>
        <v/>
      </c>
      <c r="AC75" s="35" t="str">
        <f aca="false">IF(AB75="","",Paramètres!$B$4*(1+SUM(AB$5:AB75)))</f>
        <v/>
      </c>
      <c r="AD75" s="29"/>
      <c r="AE75" s="29"/>
      <c r="AF75" s="29"/>
      <c r="AG75" s="36"/>
      <c r="AH75" s="36"/>
      <c r="AI75" s="33" t="str">
        <f aca="false">IF(AA75="","",SUM(AA$5:AA75))</f>
        <v/>
      </c>
      <c r="AJ75" s="33" t="str">
        <f aca="false">IF(AI75="","",MAX(AI75,MAX(AJ$5:AJ74),0))</f>
        <v/>
      </c>
      <c r="AK75" s="33" t="str">
        <f aca="false">IF(AI75="","",AI75-AJ75)</f>
        <v/>
      </c>
      <c r="AL75" s="25" t="str">
        <f aca="false">IF(AA75="","",IF(AA75&lt;0,N(AL74)+1,0))</f>
        <v/>
      </c>
      <c r="AM75" s="37" t="str">
        <f aca="false">IF(B75="","",B75-WEEKDAY(B75,2)+1)</f>
        <v/>
      </c>
    </row>
    <row r="76" customFormat="false" ht="15" hidden="false" customHeight="false" outlineLevel="0" collapsed="false">
      <c r="A76" s="25" t="str">
        <f aca="false">IF(B76="","",ROW()-4)</f>
        <v/>
      </c>
      <c r="B76" s="26"/>
      <c r="C76" s="27" t="str">
        <f aca="false">IF(B76="","",CHOOSE(WEEKDAY(B76,2),"Lundi","Mardi","Mercredi","Jeudi","Vendredi","Samedi","Dimanche"))</f>
        <v/>
      </c>
      <c r="D76" s="28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5" t="str">
        <f aca="false">IF(B76="","",OR(AND(H76="Achat",I76="Haussier"),AND(H76="Vente",I76="Baissier"))*1+OR(AND(H76="Achat",J76="Discount"),AND(H76="Vente",J76="Premium"))*1+AND(K76&lt;&gt;"",K76&lt;&gt;"Aucune")*1+OR(L76="CHoCH",L76="BOS")*1+(M76="Oui")*1+OR(G76="Londres",G76="New York")*1+(O76="Non")*1)</f>
        <v/>
      </c>
      <c r="Q76" s="27" t="str">
        <f aca="false">IF(P76="","",IF(P76=7,"A+",IF(P76&gt;=5,"B","C")))</f>
        <v/>
      </c>
      <c r="R76" s="29"/>
      <c r="S76" s="29"/>
      <c r="T76" s="27" t="str">
        <f aca="false">IF(OR(R76="",S76=""),"",R76+(R76-S76)*Paramètres!$B$6)</f>
        <v/>
      </c>
      <c r="U76" s="29"/>
      <c r="V76" s="27" t="str">
        <f aca="false">IF(OR(R76="",S76=""),"",ABS(R76-S76))</f>
        <v/>
      </c>
      <c r="W76" s="30" t="str">
        <f aca="false">IF(OR(U76="",V76="",N(V76)=0),"",ABS(U76-R76)/V76)</f>
        <v/>
      </c>
      <c r="X76" s="31"/>
      <c r="Y76" s="29"/>
      <c r="Z76" s="32"/>
      <c r="AA76" s="33" t="str">
        <f aca="false">IF(Y76="","",IF(Y76="Stop",-1,IF(Y76="BE",0,IF(Y76="TP1 + BE",Paramètres!$B$7*Paramètres!$B$6,IF(Y76="TP1 (100 %)",Paramètres!$B$6,IF(Y76="TP2",Paramètres!$B$7*Paramètres!$B$6+(1-Paramètres!$B$7)*N(W76),IF(Y76="Sortie manuelle",N(Z76),"")))))))</f>
        <v/>
      </c>
      <c r="AB76" s="34" t="str">
        <f aca="false">IF(AA76="","",AA76*IF(X76="",Paramètres!$B$5,X76))</f>
        <v/>
      </c>
      <c r="AC76" s="35" t="str">
        <f aca="false">IF(AB76="","",Paramètres!$B$4*(1+SUM(AB$5:AB76)))</f>
        <v/>
      </c>
      <c r="AD76" s="29"/>
      <c r="AE76" s="29"/>
      <c r="AF76" s="29"/>
      <c r="AG76" s="36"/>
      <c r="AH76" s="36"/>
      <c r="AI76" s="33" t="str">
        <f aca="false">IF(AA76="","",SUM(AA$5:AA76))</f>
        <v/>
      </c>
      <c r="AJ76" s="33" t="str">
        <f aca="false">IF(AI76="","",MAX(AI76,MAX(AJ$5:AJ75),0))</f>
        <v/>
      </c>
      <c r="AK76" s="33" t="str">
        <f aca="false">IF(AI76="","",AI76-AJ76)</f>
        <v/>
      </c>
      <c r="AL76" s="25" t="str">
        <f aca="false">IF(AA76="","",IF(AA76&lt;0,N(AL75)+1,0))</f>
        <v/>
      </c>
      <c r="AM76" s="37" t="str">
        <f aca="false">IF(B76="","",B76-WEEKDAY(B76,2)+1)</f>
        <v/>
      </c>
    </row>
    <row r="77" customFormat="false" ht="15" hidden="false" customHeight="false" outlineLevel="0" collapsed="false">
      <c r="A77" s="25" t="str">
        <f aca="false">IF(B77="","",ROW()-4)</f>
        <v/>
      </c>
      <c r="B77" s="26"/>
      <c r="C77" s="27" t="str">
        <f aca="false">IF(B77="","",CHOOSE(WEEKDAY(B77,2),"Lundi","Mardi","Mercredi","Jeudi","Vendredi","Samedi","Dimanche"))</f>
        <v/>
      </c>
      <c r="D77" s="28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5" t="str">
        <f aca="false">IF(B77="","",OR(AND(H77="Achat",I77="Haussier"),AND(H77="Vente",I77="Baissier"))*1+OR(AND(H77="Achat",J77="Discount"),AND(H77="Vente",J77="Premium"))*1+AND(K77&lt;&gt;"",K77&lt;&gt;"Aucune")*1+OR(L77="CHoCH",L77="BOS")*1+(M77="Oui")*1+OR(G77="Londres",G77="New York")*1+(O77="Non")*1)</f>
        <v/>
      </c>
      <c r="Q77" s="27" t="str">
        <f aca="false">IF(P77="","",IF(P77=7,"A+",IF(P77&gt;=5,"B","C")))</f>
        <v/>
      </c>
      <c r="R77" s="29"/>
      <c r="S77" s="29"/>
      <c r="T77" s="27" t="str">
        <f aca="false">IF(OR(R77="",S77=""),"",R77+(R77-S77)*Paramètres!$B$6)</f>
        <v/>
      </c>
      <c r="U77" s="29"/>
      <c r="V77" s="27" t="str">
        <f aca="false">IF(OR(R77="",S77=""),"",ABS(R77-S77))</f>
        <v/>
      </c>
      <c r="W77" s="30" t="str">
        <f aca="false">IF(OR(U77="",V77="",N(V77)=0),"",ABS(U77-R77)/V77)</f>
        <v/>
      </c>
      <c r="X77" s="31"/>
      <c r="Y77" s="29"/>
      <c r="Z77" s="32"/>
      <c r="AA77" s="33" t="str">
        <f aca="false">IF(Y77="","",IF(Y77="Stop",-1,IF(Y77="BE",0,IF(Y77="TP1 + BE",Paramètres!$B$7*Paramètres!$B$6,IF(Y77="TP1 (100 %)",Paramètres!$B$6,IF(Y77="TP2",Paramètres!$B$7*Paramètres!$B$6+(1-Paramètres!$B$7)*N(W77),IF(Y77="Sortie manuelle",N(Z77),"")))))))</f>
        <v/>
      </c>
      <c r="AB77" s="34" t="str">
        <f aca="false">IF(AA77="","",AA77*IF(X77="",Paramètres!$B$5,X77))</f>
        <v/>
      </c>
      <c r="AC77" s="35" t="str">
        <f aca="false">IF(AB77="","",Paramètres!$B$4*(1+SUM(AB$5:AB77)))</f>
        <v/>
      </c>
      <c r="AD77" s="29"/>
      <c r="AE77" s="29"/>
      <c r="AF77" s="29"/>
      <c r="AG77" s="36"/>
      <c r="AH77" s="36"/>
      <c r="AI77" s="33" t="str">
        <f aca="false">IF(AA77="","",SUM(AA$5:AA77))</f>
        <v/>
      </c>
      <c r="AJ77" s="33" t="str">
        <f aca="false">IF(AI77="","",MAX(AI77,MAX(AJ$5:AJ76),0))</f>
        <v/>
      </c>
      <c r="AK77" s="33" t="str">
        <f aca="false">IF(AI77="","",AI77-AJ77)</f>
        <v/>
      </c>
      <c r="AL77" s="25" t="str">
        <f aca="false">IF(AA77="","",IF(AA77&lt;0,N(AL76)+1,0))</f>
        <v/>
      </c>
      <c r="AM77" s="37" t="str">
        <f aca="false">IF(B77="","",B77-WEEKDAY(B77,2)+1)</f>
        <v/>
      </c>
    </row>
    <row r="78" customFormat="false" ht="15" hidden="false" customHeight="false" outlineLevel="0" collapsed="false">
      <c r="A78" s="25" t="str">
        <f aca="false">IF(B78="","",ROW()-4)</f>
        <v/>
      </c>
      <c r="B78" s="26"/>
      <c r="C78" s="27" t="str">
        <f aca="false">IF(B78="","",CHOOSE(WEEKDAY(B78,2),"Lundi","Mardi","Mercredi","Jeudi","Vendredi","Samedi","Dimanche"))</f>
        <v/>
      </c>
      <c r="D78" s="28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5" t="str">
        <f aca="false">IF(B78="","",OR(AND(H78="Achat",I78="Haussier"),AND(H78="Vente",I78="Baissier"))*1+OR(AND(H78="Achat",J78="Discount"),AND(H78="Vente",J78="Premium"))*1+AND(K78&lt;&gt;"",K78&lt;&gt;"Aucune")*1+OR(L78="CHoCH",L78="BOS")*1+(M78="Oui")*1+OR(G78="Londres",G78="New York")*1+(O78="Non")*1)</f>
        <v/>
      </c>
      <c r="Q78" s="27" t="str">
        <f aca="false">IF(P78="","",IF(P78=7,"A+",IF(P78&gt;=5,"B","C")))</f>
        <v/>
      </c>
      <c r="R78" s="29"/>
      <c r="S78" s="29"/>
      <c r="T78" s="27" t="str">
        <f aca="false">IF(OR(R78="",S78=""),"",R78+(R78-S78)*Paramètres!$B$6)</f>
        <v/>
      </c>
      <c r="U78" s="29"/>
      <c r="V78" s="27" t="str">
        <f aca="false">IF(OR(R78="",S78=""),"",ABS(R78-S78))</f>
        <v/>
      </c>
      <c r="W78" s="30" t="str">
        <f aca="false">IF(OR(U78="",V78="",N(V78)=0),"",ABS(U78-R78)/V78)</f>
        <v/>
      </c>
      <c r="X78" s="31"/>
      <c r="Y78" s="29"/>
      <c r="Z78" s="32"/>
      <c r="AA78" s="33" t="str">
        <f aca="false">IF(Y78="","",IF(Y78="Stop",-1,IF(Y78="BE",0,IF(Y78="TP1 + BE",Paramètres!$B$7*Paramètres!$B$6,IF(Y78="TP1 (100 %)",Paramètres!$B$6,IF(Y78="TP2",Paramètres!$B$7*Paramètres!$B$6+(1-Paramètres!$B$7)*N(W78),IF(Y78="Sortie manuelle",N(Z78),"")))))))</f>
        <v/>
      </c>
      <c r="AB78" s="34" t="str">
        <f aca="false">IF(AA78="","",AA78*IF(X78="",Paramètres!$B$5,X78))</f>
        <v/>
      </c>
      <c r="AC78" s="35" t="str">
        <f aca="false">IF(AB78="","",Paramètres!$B$4*(1+SUM(AB$5:AB78)))</f>
        <v/>
      </c>
      <c r="AD78" s="29"/>
      <c r="AE78" s="29"/>
      <c r="AF78" s="29"/>
      <c r="AG78" s="36"/>
      <c r="AH78" s="36"/>
      <c r="AI78" s="33" t="str">
        <f aca="false">IF(AA78="","",SUM(AA$5:AA78))</f>
        <v/>
      </c>
      <c r="AJ78" s="33" t="str">
        <f aca="false">IF(AI78="","",MAX(AI78,MAX(AJ$5:AJ77),0))</f>
        <v/>
      </c>
      <c r="AK78" s="33" t="str">
        <f aca="false">IF(AI78="","",AI78-AJ78)</f>
        <v/>
      </c>
      <c r="AL78" s="25" t="str">
        <f aca="false">IF(AA78="","",IF(AA78&lt;0,N(AL77)+1,0))</f>
        <v/>
      </c>
      <c r="AM78" s="37" t="str">
        <f aca="false">IF(B78="","",B78-WEEKDAY(B78,2)+1)</f>
        <v/>
      </c>
    </row>
    <row r="79" customFormat="false" ht="15" hidden="false" customHeight="false" outlineLevel="0" collapsed="false">
      <c r="A79" s="25" t="str">
        <f aca="false">IF(B79="","",ROW()-4)</f>
        <v/>
      </c>
      <c r="B79" s="26"/>
      <c r="C79" s="27" t="str">
        <f aca="false">IF(B79="","",CHOOSE(WEEKDAY(B79,2),"Lundi","Mardi","Mercredi","Jeudi","Vendredi","Samedi","Dimanche"))</f>
        <v/>
      </c>
      <c r="D79" s="28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5" t="str">
        <f aca="false">IF(B79="","",OR(AND(H79="Achat",I79="Haussier"),AND(H79="Vente",I79="Baissier"))*1+OR(AND(H79="Achat",J79="Discount"),AND(H79="Vente",J79="Premium"))*1+AND(K79&lt;&gt;"",K79&lt;&gt;"Aucune")*1+OR(L79="CHoCH",L79="BOS")*1+(M79="Oui")*1+OR(G79="Londres",G79="New York")*1+(O79="Non")*1)</f>
        <v/>
      </c>
      <c r="Q79" s="27" t="str">
        <f aca="false">IF(P79="","",IF(P79=7,"A+",IF(P79&gt;=5,"B","C")))</f>
        <v/>
      </c>
      <c r="R79" s="29"/>
      <c r="S79" s="29"/>
      <c r="T79" s="27" t="str">
        <f aca="false">IF(OR(R79="",S79=""),"",R79+(R79-S79)*Paramètres!$B$6)</f>
        <v/>
      </c>
      <c r="U79" s="29"/>
      <c r="V79" s="27" t="str">
        <f aca="false">IF(OR(R79="",S79=""),"",ABS(R79-S79))</f>
        <v/>
      </c>
      <c r="W79" s="30" t="str">
        <f aca="false">IF(OR(U79="",V79="",N(V79)=0),"",ABS(U79-R79)/V79)</f>
        <v/>
      </c>
      <c r="X79" s="31"/>
      <c r="Y79" s="29"/>
      <c r="Z79" s="32"/>
      <c r="AA79" s="33" t="str">
        <f aca="false">IF(Y79="","",IF(Y79="Stop",-1,IF(Y79="BE",0,IF(Y79="TP1 + BE",Paramètres!$B$7*Paramètres!$B$6,IF(Y79="TP1 (100 %)",Paramètres!$B$6,IF(Y79="TP2",Paramètres!$B$7*Paramètres!$B$6+(1-Paramètres!$B$7)*N(W79),IF(Y79="Sortie manuelle",N(Z79),"")))))))</f>
        <v/>
      </c>
      <c r="AB79" s="34" t="str">
        <f aca="false">IF(AA79="","",AA79*IF(X79="",Paramètres!$B$5,X79))</f>
        <v/>
      </c>
      <c r="AC79" s="35" t="str">
        <f aca="false">IF(AB79="","",Paramètres!$B$4*(1+SUM(AB$5:AB79)))</f>
        <v/>
      </c>
      <c r="AD79" s="29"/>
      <c r="AE79" s="29"/>
      <c r="AF79" s="29"/>
      <c r="AG79" s="36"/>
      <c r="AH79" s="36"/>
      <c r="AI79" s="33" t="str">
        <f aca="false">IF(AA79="","",SUM(AA$5:AA79))</f>
        <v/>
      </c>
      <c r="AJ79" s="33" t="str">
        <f aca="false">IF(AI79="","",MAX(AI79,MAX(AJ$5:AJ78),0))</f>
        <v/>
      </c>
      <c r="AK79" s="33" t="str">
        <f aca="false">IF(AI79="","",AI79-AJ79)</f>
        <v/>
      </c>
      <c r="AL79" s="25" t="str">
        <f aca="false">IF(AA79="","",IF(AA79&lt;0,N(AL78)+1,0))</f>
        <v/>
      </c>
      <c r="AM79" s="37" t="str">
        <f aca="false">IF(B79="","",B79-WEEKDAY(B79,2)+1)</f>
        <v/>
      </c>
    </row>
    <row r="80" customFormat="false" ht="15" hidden="false" customHeight="false" outlineLevel="0" collapsed="false">
      <c r="A80" s="25" t="str">
        <f aca="false">IF(B80="","",ROW()-4)</f>
        <v/>
      </c>
      <c r="B80" s="26"/>
      <c r="C80" s="27" t="str">
        <f aca="false">IF(B80="","",CHOOSE(WEEKDAY(B80,2),"Lundi","Mardi","Mercredi","Jeudi","Vendredi","Samedi","Dimanche"))</f>
        <v/>
      </c>
      <c r="D80" s="28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5" t="str">
        <f aca="false">IF(B80="","",OR(AND(H80="Achat",I80="Haussier"),AND(H80="Vente",I80="Baissier"))*1+OR(AND(H80="Achat",J80="Discount"),AND(H80="Vente",J80="Premium"))*1+AND(K80&lt;&gt;"",K80&lt;&gt;"Aucune")*1+OR(L80="CHoCH",L80="BOS")*1+(M80="Oui")*1+OR(G80="Londres",G80="New York")*1+(O80="Non")*1)</f>
        <v/>
      </c>
      <c r="Q80" s="27" t="str">
        <f aca="false">IF(P80="","",IF(P80=7,"A+",IF(P80&gt;=5,"B","C")))</f>
        <v/>
      </c>
      <c r="R80" s="29"/>
      <c r="S80" s="29"/>
      <c r="T80" s="27" t="str">
        <f aca="false">IF(OR(R80="",S80=""),"",R80+(R80-S80)*Paramètres!$B$6)</f>
        <v/>
      </c>
      <c r="U80" s="29"/>
      <c r="V80" s="27" t="str">
        <f aca="false">IF(OR(R80="",S80=""),"",ABS(R80-S80))</f>
        <v/>
      </c>
      <c r="W80" s="30" t="str">
        <f aca="false">IF(OR(U80="",V80="",N(V80)=0),"",ABS(U80-R80)/V80)</f>
        <v/>
      </c>
      <c r="X80" s="31"/>
      <c r="Y80" s="29"/>
      <c r="Z80" s="32"/>
      <c r="AA80" s="33" t="str">
        <f aca="false">IF(Y80="","",IF(Y80="Stop",-1,IF(Y80="BE",0,IF(Y80="TP1 + BE",Paramètres!$B$7*Paramètres!$B$6,IF(Y80="TP1 (100 %)",Paramètres!$B$6,IF(Y80="TP2",Paramètres!$B$7*Paramètres!$B$6+(1-Paramètres!$B$7)*N(W80),IF(Y80="Sortie manuelle",N(Z80),"")))))))</f>
        <v/>
      </c>
      <c r="AB80" s="34" t="str">
        <f aca="false">IF(AA80="","",AA80*IF(X80="",Paramètres!$B$5,X80))</f>
        <v/>
      </c>
      <c r="AC80" s="35" t="str">
        <f aca="false">IF(AB80="","",Paramètres!$B$4*(1+SUM(AB$5:AB80)))</f>
        <v/>
      </c>
      <c r="AD80" s="29"/>
      <c r="AE80" s="29"/>
      <c r="AF80" s="29"/>
      <c r="AG80" s="36"/>
      <c r="AH80" s="36"/>
      <c r="AI80" s="33" t="str">
        <f aca="false">IF(AA80="","",SUM(AA$5:AA80))</f>
        <v/>
      </c>
      <c r="AJ80" s="33" t="str">
        <f aca="false">IF(AI80="","",MAX(AI80,MAX(AJ$5:AJ79),0))</f>
        <v/>
      </c>
      <c r="AK80" s="33" t="str">
        <f aca="false">IF(AI80="","",AI80-AJ80)</f>
        <v/>
      </c>
      <c r="AL80" s="25" t="str">
        <f aca="false">IF(AA80="","",IF(AA80&lt;0,N(AL79)+1,0))</f>
        <v/>
      </c>
      <c r="AM80" s="37" t="str">
        <f aca="false">IF(B80="","",B80-WEEKDAY(B80,2)+1)</f>
        <v/>
      </c>
    </row>
    <row r="81" customFormat="false" ht="15" hidden="false" customHeight="false" outlineLevel="0" collapsed="false">
      <c r="A81" s="25" t="str">
        <f aca="false">IF(B81="","",ROW()-4)</f>
        <v/>
      </c>
      <c r="B81" s="26"/>
      <c r="C81" s="27" t="str">
        <f aca="false">IF(B81="","",CHOOSE(WEEKDAY(B81,2),"Lundi","Mardi","Mercredi","Jeudi","Vendredi","Samedi","Dimanche"))</f>
        <v/>
      </c>
      <c r="D81" s="28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5" t="str">
        <f aca="false">IF(B81="","",OR(AND(H81="Achat",I81="Haussier"),AND(H81="Vente",I81="Baissier"))*1+OR(AND(H81="Achat",J81="Discount"),AND(H81="Vente",J81="Premium"))*1+AND(K81&lt;&gt;"",K81&lt;&gt;"Aucune")*1+OR(L81="CHoCH",L81="BOS")*1+(M81="Oui")*1+OR(G81="Londres",G81="New York")*1+(O81="Non")*1)</f>
        <v/>
      </c>
      <c r="Q81" s="27" t="str">
        <f aca="false">IF(P81="","",IF(P81=7,"A+",IF(P81&gt;=5,"B","C")))</f>
        <v/>
      </c>
      <c r="R81" s="29"/>
      <c r="S81" s="29"/>
      <c r="T81" s="27" t="str">
        <f aca="false">IF(OR(R81="",S81=""),"",R81+(R81-S81)*Paramètres!$B$6)</f>
        <v/>
      </c>
      <c r="U81" s="29"/>
      <c r="V81" s="27" t="str">
        <f aca="false">IF(OR(R81="",S81=""),"",ABS(R81-S81))</f>
        <v/>
      </c>
      <c r="W81" s="30" t="str">
        <f aca="false">IF(OR(U81="",V81="",N(V81)=0),"",ABS(U81-R81)/V81)</f>
        <v/>
      </c>
      <c r="X81" s="31"/>
      <c r="Y81" s="29"/>
      <c r="Z81" s="32"/>
      <c r="AA81" s="33" t="str">
        <f aca="false">IF(Y81="","",IF(Y81="Stop",-1,IF(Y81="BE",0,IF(Y81="TP1 + BE",Paramètres!$B$7*Paramètres!$B$6,IF(Y81="TP1 (100 %)",Paramètres!$B$6,IF(Y81="TP2",Paramètres!$B$7*Paramètres!$B$6+(1-Paramètres!$B$7)*N(W81),IF(Y81="Sortie manuelle",N(Z81),"")))))))</f>
        <v/>
      </c>
      <c r="AB81" s="34" t="str">
        <f aca="false">IF(AA81="","",AA81*IF(X81="",Paramètres!$B$5,X81))</f>
        <v/>
      </c>
      <c r="AC81" s="35" t="str">
        <f aca="false">IF(AB81="","",Paramètres!$B$4*(1+SUM(AB$5:AB81)))</f>
        <v/>
      </c>
      <c r="AD81" s="29"/>
      <c r="AE81" s="29"/>
      <c r="AF81" s="29"/>
      <c r="AG81" s="36"/>
      <c r="AH81" s="36"/>
      <c r="AI81" s="33" t="str">
        <f aca="false">IF(AA81="","",SUM(AA$5:AA81))</f>
        <v/>
      </c>
      <c r="AJ81" s="33" t="str">
        <f aca="false">IF(AI81="","",MAX(AI81,MAX(AJ$5:AJ80),0))</f>
        <v/>
      </c>
      <c r="AK81" s="33" t="str">
        <f aca="false">IF(AI81="","",AI81-AJ81)</f>
        <v/>
      </c>
      <c r="AL81" s="25" t="str">
        <f aca="false">IF(AA81="","",IF(AA81&lt;0,N(AL80)+1,0))</f>
        <v/>
      </c>
      <c r="AM81" s="37" t="str">
        <f aca="false">IF(B81="","",B81-WEEKDAY(B81,2)+1)</f>
        <v/>
      </c>
    </row>
    <row r="82" customFormat="false" ht="15" hidden="false" customHeight="false" outlineLevel="0" collapsed="false">
      <c r="A82" s="25" t="str">
        <f aca="false">IF(B82="","",ROW()-4)</f>
        <v/>
      </c>
      <c r="B82" s="26"/>
      <c r="C82" s="27" t="str">
        <f aca="false">IF(B82="","",CHOOSE(WEEKDAY(B82,2),"Lundi","Mardi","Mercredi","Jeudi","Vendredi","Samedi","Dimanche"))</f>
        <v/>
      </c>
      <c r="D82" s="28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5" t="str">
        <f aca="false">IF(B82="","",OR(AND(H82="Achat",I82="Haussier"),AND(H82="Vente",I82="Baissier"))*1+OR(AND(H82="Achat",J82="Discount"),AND(H82="Vente",J82="Premium"))*1+AND(K82&lt;&gt;"",K82&lt;&gt;"Aucune")*1+OR(L82="CHoCH",L82="BOS")*1+(M82="Oui")*1+OR(G82="Londres",G82="New York")*1+(O82="Non")*1)</f>
        <v/>
      </c>
      <c r="Q82" s="27" t="str">
        <f aca="false">IF(P82="","",IF(P82=7,"A+",IF(P82&gt;=5,"B","C")))</f>
        <v/>
      </c>
      <c r="R82" s="29"/>
      <c r="S82" s="29"/>
      <c r="T82" s="27" t="str">
        <f aca="false">IF(OR(R82="",S82=""),"",R82+(R82-S82)*Paramètres!$B$6)</f>
        <v/>
      </c>
      <c r="U82" s="29"/>
      <c r="V82" s="27" t="str">
        <f aca="false">IF(OR(R82="",S82=""),"",ABS(R82-S82))</f>
        <v/>
      </c>
      <c r="W82" s="30" t="str">
        <f aca="false">IF(OR(U82="",V82="",N(V82)=0),"",ABS(U82-R82)/V82)</f>
        <v/>
      </c>
      <c r="X82" s="31"/>
      <c r="Y82" s="29"/>
      <c r="Z82" s="32"/>
      <c r="AA82" s="33" t="str">
        <f aca="false">IF(Y82="","",IF(Y82="Stop",-1,IF(Y82="BE",0,IF(Y82="TP1 + BE",Paramètres!$B$7*Paramètres!$B$6,IF(Y82="TP1 (100 %)",Paramètres!$B$6,IF(Y82="TP2",Paramètres!$B$7*Paramètres!$B$6+(1-Paramètres!$B$7)*N(W82),IF(Y82="Sortie manuelle",N(Z82),"")))))))</f>
        <v/>
      </c>
      <c r="AB82" s="34" t="str">
        <f aca="false">IF(AA82="","",AA82*IF(X82="",Paramètres!$B$5,X82))</f>
        <v/>
      </c>
      <c r="AC82" s="35" t="str">
        <f aca="false">IF(AB82="","",Paramètres!$B$4*(1+SUM(AB$5:AB82)))</f>
        <v/>
      </c>
      <c r="AD82" s="29"/>
      <c r="AE82" s="29"/>
      <c r="AF82" s="29"/>
      <c r="AG82" s="36"/>
      <c r="AH82" s="36"/>
      <c r="AI82" s="33" t="str">
        <f aca="false">IF(AA82="","",SUM(AA$5:AA82))</f>
        <v/>
      </c>
      <c r="AJ82" s="33" t="str">
        <f aca="false">IF(AI82="","",MAX(AI82,MAX(AJ$5:AJ81),0))</f>
        <v/>
      </c>
      <c r="AK82" s="33" t="str">
        <f aca="false">IF(AI82="","",AI82-AJ82)</f>
        <v/>
      </c>
      <c r="AL82" s="25" t="str">
        <f aca="false">IF(AA82="","",IF(AA82&lt;0,N(AL81)+1,0))</f>
        <v/>
      </c>
      <c r="AM82" s="37" t="str">
        <f aca="false">IF(B82="","",B82-WEEKDAY(B82,2)+1)</f>
        <v/>
      </c>
    </row>
    <row r="83" customFormat="false" ht="15" hidden="false" customHeight="false" outlineLevel="0" collapsed="false">
      <c r="A83" s="25" t="str">
        <f aca="false">IF(B83="","",ROW()-4)</f>
        <v/>
      </c>
      <c r="B83" s="26"/>
      <c r="C83" s="27" t="str">
        <f aca="false">IF(B83="","",CHOOSE(WEEKDAY(B83,2),"Lundi","Mardi","Mercredi","Jeudi","Vendredi","Samedi","Dimanche"))</f>
        <v/>
      </c>
      <c r="D83" s="28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5" t="str">
        <f aca="false">IF(B83="","",OR(AND(H83="Achat",I83="Haussier"),AND(H83="Vente",I83="Baissier"))*1+OR(AND(H83="Achat",J83="Discount"),AND(H83="Vente",J83="Premium"))*1+AND(K83&lt;&gt;"",K83&lt;&gt;"Aucune")*1+OR(L83="CHoCH",L83="BOS")*1+(M83="Oui")*1+OR(G83="Londres",G83="New York")*1+(O83="Non")*1)</f>
        <v/>
      </c>
      <c r="Q83" s="27" t="str">
        <f aca="false">IF(P83="","",IF(P83=7,"A+",IF(P83&gt;=5,"B","C")))</f>
        <v/>
      </c>
      <c r="R83" s="29"/>
      <c r="S83" s="29"/>
      <c r="T83" s="27" t="str">
        <f aca="false">IF(OR(R83="",S83=""),"",R83+(R83-S83)*Paramètres!$B$6)</f>
        <v/>
      </c>
      <c r="U83" s="29"/>
      <c r="V83" s="27" t="str">
        <f aca="false">IF(OR(R83="",S83=""),"",ABS(R83-S83))</f>
        <v/>
      </c>
      <c r="W83" s="30" t="str">
        <f aca="false">IF(OR(U83="",V83="",N(V83)=0),"",ABS(U83-R83)/V83)</f>
        <v/>
      </c>
      <c r="X83" s="31"/>
      <c r="Y83" s="29"/>
      <c r="Z83" s="32"/>
      <c r="AA83" s="33" t="str">
        <f aca="false">IF(Y83="","",IF(Y83="Stop",-1,IF(Y83="BE",0,IF(Y83="TP1 + BE",Paramètres!$B$7*Paramètres!$B$6,IF(Y83="TP1 (100 %)",Paramètres!$B$6,IF(Y83="TP2",Paramètres!$B$7*Paramètres!$B$6+(1-Paramètres!$B$7)*N(W83),IF(Y83="Sortie manuelle",N(Z83),"")))))))</f>
        <v/>
      </c>
      <c r="AB83" s="34" t="str">
        <f aca="false">IF(AA83="","",AA83*IF(X83="",Paramètres!$B$5,X83))</f>
        <v/>
      </c>
      <c r="AC83" s="35" t="str">
        <f aca="false">IF(AB83="","",Paramètres!$B$4*(1+SUM(AB$5:AB83)))</f>
        <v/>
      </c>
      <c r="AD83" s="29"/>
      <c r="AE83" s="29"/>
      <c r="AF83" s="29"/>
      <c r="AG83" s="36"/>
      <c r="AH83" s="36"/>
      <c r="AI83" s="33" t="str">
        <f aca="false">IF(AA83="","",SUM(AA$5:AA83))</f>
        <v/>
      </c>
      <c r="AJ83" s="33" t="str">
        <f aca="false">IF(AI83="","",MAX(AI83,MAX(AJ$5:AJ82),0))</f>
        <v/>
      </c>
      <c r="AK83" s="33" t="str">
        <f aca="false">IF(AI83="","",AI83-AJ83)</f>
        <v/>
      </c>
      <c r="AL83" s="25" t="str">
        <f aca="false">IF(AA83="","",IF(AA83&lt;0,N(AL82)+1,0))</f>
        <v/>
      </c>
      <c r="AM83" s="37" t="str">
        <f aca="false">IF(B83="","",B83-WEEKDAY(B83,2)+1)</f>
        <v/>
      </c>
    </row>
    <row r="84" customFormat="false" ht="15" hidden="false" customHeight="false" outlineLevel="0" collapsed="false">
      <c r="A84" s="25" t="str">
        <f aca="false">IF(B84="","",ROW()-4)</f>
        <v/>
      </c>
      <c r="B84" s="26"/>
      <c r="C84" s="27" t="str">
        <f aca="false">IF(B84="","",CHOOSE(WEEKDAY(B84,2),"Lundi","Mardi","Mercredi","Jeudi","Vendredi","Samedi","Dimanche"))</f>
        <v/>
      </c>
      <c r="D84" s="28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5" t="str">
        <f aca="false">IF(B84="","",OR(AND(H84="Achat",I84="Haussier"),AND(H84="Vente",I84="Baissier"))*1+OR(AND(H84="Achat",J84="Discount"),AND(H84="Vente",J84="Premium"))*1+AND(K84&lt;&gt;"",K84&lt;&gt;"Aucune")*1+OR(L84="CHoCH",L84="BOS")*1+(M84="Oui")*1+OR(G84="Londres",G84="New York")*1+(O84="Non")*1)</f>
        <v/>
      </c>
      <c r="Q84" s="27" t="str">
        <f aca="false">IF(P84="","",IF(P84=7,"A+",IF(P84&gt;=5,"B","C")))</f>
        <v/>
      </c>
      <c r="R84" s="29"/>
      <c r="S84" s="29"/>
      <c r="T84" s="27" t="str">
        <f aca="false">IF(OR(R84="",S84=""),"",R84+(R84-S84)*Paramètres!$B$6)</f>
        <v/>
      </c>
      <c r="U84" s="29"/>
      <c r="V84" s="27" t="str">
        <f aca="false">IF(OR(R84="",S84=""),"",ABS(R84-S84))</f>
        <v/>
      </c>
      <c r="W84" s="30" t="str">
        <f aca="false">IF(OR(U84="",V84="",N(V84)=0),"",ABS(U84-R84)/V84)</f>
        <v/>
      </c>
      <c r="X84" s="31"/>
      <c r="Y84" s="29"/>
      <c r="Z84" s="32"/>
      <c r="AA84" s="33" t="str">
        <f aca="false">IF(Y84="","",IF(Y84="Stop",-1,IF(Y84="BE",0,IF(Y84="TP1 + BE",Paramètres!$B$7*Paramètres!$B$6,IF(Y84="TP1 (100 %)",Paramètres!$B$6,IF(Y84="TP2",Paramètres!$B$7*Paramètres!$B$6+(1-Paramètres!$B$7)*N(W84),IF(Y84="Sortie manuelle",N(Z84),"")))))))</f>
        <v/>
      </c>
      <c r="AB84" s="34" t="str">
        <f aca="false">IF(AA84="","",AA84*IF(X84="",Paramètres!$B$5,X84))</f>
        <v/>
      </c>
      <c r="AC84" s="35" t="str">
        <f aca="false">IF(AB84="","",Paramètres!$B$4*(1+SUM(AB$5:AB84)))</f>
        <v/>
      </c>
      <c r="AD84" s="29"/>
      <c r="AE84" s="29"/>
      <c r="AF84" s="29"/>
      <c r="AG84" s="36"/>
      <c r="AH84" s="36"/>
      <c r="AI84" s="33" t="str">
        <f aca="false">IF(AA84="","",SUM(AA$5:AA84))</f>
        <v/>
      </c>
      <c r="AJ84" s="33" t="str">
        <f aca="false">IF(AI84="","",MAX(AI84,MAX(AJ$5:AJ83),0))</f>
        <v/>
      </c>
      <c r="AK84" s="33" t="str">
        <f aca="false">IF(AI84="","",AI84-AJ84)</f>
        <v/>
      </c>
      <c r="AL84" s="25" t="str">
        <f aca="false">IF(AA84="","",IF(AA84&lt;0,N(AL83)+1,0))</f>
        <v/>
      </c>
      <c r="AM84" s="37" t="str">
        <f aca="false">IF(B84="","",B84-WEEKDAY(B84,2)+1)</f>
        <v/>
      </c>
    </row>
    <row r="85" customFormat="false" ht="15" hidden="false" customHeight="false" outlineLevel="0" collapsed="false">
      <c r="A85" s="25" t="str">
        <f aca="false">IF(B85="","",ROW()-4)</f>
        <v/>
      </c>
      <c r="B85" s="26"/>
      <c r="C85" s="27" t="str">
        <f aca="false">IF(B85="","",CHOOSE(WEEKDAY(B85,2),"Lundi","Mardi","Mercredi","Jeudi","Vendredi","Samedi","Dimanche"))</f>
        <v/>
      </c>
      <c r="D85" s="28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5" t="str">
        <f aca="false">IF(B85="","",OR(AND(H85="Achat",I85="Haussier"),AND(H85="Vente",I85="Baissier"))*1+OR(AND(H85="Achat",J85="Discount"),AND(H85="Vente",J85="Premium"))*1+AND(K85&lt;&gt;"",K85&lt;&gt;"Aucune")*1+OR(L85="CHoCH",L85="BOS")*1+(M85="Oui")*1+OR(G85="Londres",G85="New York")*1+(O85="Non")*1)</f>
        <v/>
      </c>
      <c r="Q85" s="27" t="str">
        <f aca="false">IF(P85="","",IF(P85=7,"A+",IF(P85&gt;=5,"B","C")))</f>
        <v/>
      </c>
      <c r="R85" s="29"/>
      <c r="S85" s="29"/>
      <c r="T85" s="27" t="str">
        <f aca="false">IF(OR(R85="",S85=""),"",R85+(R85-S85)*Paramètres!$B$6)</f>
        <v/>
      </c>
      <c r="U85" s="29"/>
      <c r="V85" s="27" t="str">
        <f aca="false">IF(OR(R85="",S85=""),"",ABS(R85-S85))</f>
        <v/>
      </c>
      <c r="W85" s="30" t="str">
        <f aca="false">IF(OR(U85="",V85="",N(V85)=0),"",ABS(U85-R85)/V85)</f>
        <v/>
      </c>
      <c r="X85" s="31"/>
      <c r="Y85" s="29"/>
      <c r="Z85" s="32"/>
      <c r="AA85" s="33" t="str">
        <f aca="false">IF(Y85="","",IF(Y85="Stop",-1,IF(Y85="BE",0,IF(Y85="TP1 + BE",Paramètres!$B$7*Paramètres!$B$6,IF(Y85="TP1 (100 %)",Paramètres!$B$6,IF(Y85="TP2",Paramètres!$B$7*Paramètres!$B$6+(1-Paramètres!$B$7)*N(W85),IF(Y85="Sortie manuelle",N(Z85),"")))))))</f>
        <v/>
      </c>
      <c r="AB85" s="34" t="str">
        <f aca="false">IF(AA85="","",AA85*IF(X85="",Paramètres!$B$5,X85))</f>
        <v/>
      </c>
      <c r="AC85" s="35" t="str">
        <f aca="false">IF(AB85="","",Paramètres!$B$4*(1+SUM(AB$5:AB85)))</f>
        <v/>
      </c>
      <c r="AD85" s="29"/>
      <c r="AE85" s="29"/>
      <c r="AF85" s="29"/>
      <c r="AG85" s="36"/>
      <c r="AH85" s="36"/>
      <c r="AI85" s="33" t="str">
        <f aca="false">IF(AA85="","",SUM(AA$5:AA85))</f>
        <v/>
      </c>
      <c r="AJ85" s="33" t="str">
        <f aca="false">IF(AI85="","",MAX(AI85,MAX(AJ$5:AJ84),0))</f>
        <v/>
      </c>
      <c r="AK85" s="33" t="str">
        <f aca="false">IF(AI85="","",AI85-AJ85)</f>
        <v/>
      </c>
      <c r="AL85" s="25" t="str">
        <f aca="false">IF(AA85="","",IF(AA85&lt;0,N(AL84)+1,0))</f>
        <v/>
      </c>
      <c r="AM85" s="37" t="str">
        <f aca="false">IF(B85="","",B85-WEEKDAY(B85,2)+1)</f>
        <v/>
      </c>
    </row>
    <row r="86" customFormat="false" ht="15" hidden="false" customHeight="false" outlineLevel="0" collapsed="false">
      <c r="A86" s="25" t="str">
        <f aca="false">IF(B86="","",ROW()-4)</f>
        <v/>
      </c>
      <c r="B86" s="26"/>
      <c r="C86" s="27" t="str">
        <f aca="false">IF(B86="","",CHOOSE(WEEKDAY(B86,2),"Lundi","Mardi","Mercredi","Jeudi","Vendredi","Samedi","Dimanche"))</f>
        <v/>
      </c>
      <c r="D86" s="28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5" t="str">
        <f aca="false">IF(B86="","",OR(AND(H86="Achat",I86="Haussier"),AND(H86="Vente",I86="Baissier"))*1+OR(AND(H86="Achat",J86="Discount"),AND(H86="Vente",J86="Premium"))*1+AND(K86&lt;&gt;"",K86&lt;&gt;"Aucune")*1+OR(L86="CHoCH",L86="BOS")*1+(M86="Oui")*1+OR(G86="Londres",G86="New York")*1+(O86="Non")*1)</f>
        <v/>
      </c>
      <c r="Q86" s="27" t="str">
        <f aca="false">IF(P86="","",IF(P86=7,"A+",IF(P86&gt;=5,"B","C")))</f>
        <v/>
      </c>
      <c r="R86" s="29"/>
      <c r="S86" s="29"/>
      <c r="T86" s="27" t="str">
        <f aca="false">IF(OR(R86="",S86=""),"",R86+(R86-S86)*Paramètres!$B$6)</f>
        <v/>
      </c>
      <c r="U86" s="29"/>
      <c r="V86" s="27" t="str">
        <f aca="false">IF(OR(R86="",S86=""),"",ABS(R86-S86))</f>
        <v/>
      </c>
      <c r="W86" s="30" t="str">
        <f aca="false">IF(OR(U86="",V86="",N(V86)=0),"",ABS(U86-R86)/V86)</f>
        <v/>
      </c>
      <c r="X86" s="31"/>
      <c r="Y86" s="29"/>
      <c r="Z86" s="32"/>
      <c r="AA86" s="33" t="str">
        <f aca="false">IF(Y86="","",IF(Y86="Stop",-1,IF(Y86="BE",0,IF(Y86="TP1 + BE",Paramètres!$B$7*Paramètres!$B$6,IF(Y86="TP1 (100 %)",Paramètres!$B$6,IF(Y86="TP2",Paramètres!$B$7*Paramètres!$B$6+(1-Paramètres!$B$7)*N(W86),IF(Y86="Sortie manuelle",N(Z86),"")))))))</f>
        <v/>
      </c>
      <c r="AB86" s="34" t="str">
        <f aca="false">IF(AA86="","",AA86*IF(X86="",Paramètres!$B$5,X86))</f>
        <v/>
      </c>
      <c r="AC86" s="35" t="str">
        <f aca="false">IF(AB86="","",Paramètres!$B$4*(1+SUM(AB$5:AB86)))</f>
        <v/>
      </c>
      <c r="AD86" s="29"/>
      <c r="AE86" s="29"/>
      <c r="AF86" s="29"/>
      <c r="AG86" s="36"/>
      <c r="AH86" s="36"/>
      <c r="AI86" s="33" t="str">
        <f aca="false">IF(AA86="","",SUM(AA$5:AA86))</f>
        <v/>
      </c>
      <c r="AJ86" s="33" t="str">
        <f aca="false">IF(AI86="","",MAX(AI86,MAX(AJ$5:AJ85),0))</f>
        <v/>
      </c>
      <c r="AK86" s="33" t="str">
        <f aca="false">IF(AI86="","",AI86-AJ86)</f>
        <v/>
      </c>
      <c r="AL86" s="25" t="str">
        <f aca="false">IF(AA86="","",IF(AA86&lt;0,N(AL85)+1,0))</f>
        <v/>
      </c>
      <c r="AM86" s="37" t="str">
        <f aca="false">IF(B86="","",B86-WEEKDAY(B86,2)+1)</f>
        <v/>
      </c>
    </row>
    <row r="87" customFormat="false" ht="15" hidden="false" customHeight="false" outlineLevel="0" collapsed="false">
      <c r="A87" s="25" t="str">
        <f aca="false">IF(B87="","",ROW()-4)</f>
        <v/>
      </c>
      <c r="B87" s="26"/>
      <c r="C87" s="27" t="str">
        <f aca="false">IF(B87="","",CHOOSE(WEEKDAY(B87,2),"Lundi","Mardi","Mercredi","Jeudi","Vendredi","Samedi","Dimanche"))</f>
        <v/>
      </c>
      <c r="D87" s="28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5" t="str">
        <f aca="false">IF(B87="","",OR(AND(H87="Achat",I87="Haussier"),AND(H87="Vente",I87="Baissier"))*1+OR(AND(H87="Achat",J87="Discount"),AND(H87="Vente",J87="Premium"))*1+AND(K87&lt;&gt;"",K87&lt;&gt;"Aucune")*1+OR(L87="CHoCH",L87="BOS")*1+(M87="Oui")*1+OR(G87="Londres",G87="New York")*1+(O87="Non")*1)</f>
        <v/>
      </c>
      <c r="Q87" s="27" t="str">
        <f aca="false">IF(P87="","",IF(P87=7,"A+",IF(P87&gt;=5,"B","C")))</f>
        <v/>
      </c>
      <c r="R87" s="29"/>
      <c r="S87" s="29"/>
      <c r="T87" s="27" t="str">
        <f aca="false">IF(OR(R87="",S87=""),"",R87+(R87-S87)*Paramètres!$B$6)</f>
        <v/>
      </c>
      <c r="U87" s="29"/>
      <c r="V87" s="27" t="str">
        <f aca="false">IF(OR(R87="",S87=""),"",ABS(R87-S87))</f>
        <v/>
      </c>
      <c r="W87" s="30" t="str">
        <f aca="false">IF(OR(U87="",V87="",N(V87)=0),"",ABS(U87-R87)/V87)</f>
        <v/>
      </c>
      <c r="X87" s="31"/>
      <c r="Y87" s="29"/>
      <c r="Z87" s="32"/>
      <c r="AA87" s="33" t="str">
        <f aca="false">IF(Y87="","",IF(Y87="Stop",-1,IF(Y87="BE",0,IF(Y87="TP1 + BE",Paramètres!$B$7*Paramètres!$B$6,IF(Y87="TP1 (100 %)",Paramètres!$B$6,IF(Y87="TP2",Paramètres!$B$7*Paramètres!$B$6+(1-Paramètres!$B$7)*N(W87),IF(Y87="Sortie manuelle",N(Z87),"")))))))</f>
        <v/>
      </c>
      <c r="AB87" s="34" t="str">
        <f aca="false">IF(AA87="","",AA87*IF(X87="",Paramètres!$B$5,X87))</f>
        <v/>
      </c>
      <c r="AC87" s="35" t="str">
        <f aca="false">IF(AB87="","",Paramètres!$B$4*(1+SUM(AB$5:AB87)))</f>
        <v/>
      </c>
      <c r="AD87" s="29"/>
      <c r="AE87" s="29"/>
      <c r="AF87" s="29"/>
      <c r="AG87" s="36"/>
      <c r="AH87" s="36"/>
      <c r="AI87" s="33" t="str">
        <f aca="false">IF(AA87="","",SUM(AA$5:AA87))</f>
        <v/>
      </c>
      <c r="AJ87" s="33" t="str">
        <f aca="false">IF(AI87="","",MAX(AI87,MAX(AJ$5:AJ86),0))</f>
        <v/>
      </c>
      <c r="AK87" s="33" t="str">
        <f aca="false">IF(AI87="","",AI87-AJ87)</f>
        <v/>
      </c>
      <c r="AL87" s="25" t="str">
        <f aca="false">IF(AA87="","",IF(AA87&lt;0,N(AL86)+1,0))</f>
        <v/>
      </c>
      <c r="AM87" s="37" t="str">
        <f aca="false">IF(B87="","",B87-WEEKDAY(B87,2)+1)</f>
        <v/>
      </c>
    </row>
    <row r="88" customFormat="false" ht="15" hidden="false" customHeight="false" outlineLevel="0" collapsed="false">
      <c r="A88" s="25" t="str">
        <f aca="false">IF(B88="","",ROW()-4)</f>
        <v/>
      </c>
      <c r="B88" s="26"/>
      <c r="C88" s="27" t="str">
        <f aca="false">IF(B88="","",CHOOSE(WEEKDAY(B88,2),"Lundi","Mardi","Mercredi","Jeudi","Vendredi","Samedi","Dimanche"))</f>
        <v/>
      </c>
      <c r="D88" s="28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5" t="str">
        <f aca="false">IF(B88="","",OR(AND(H88="Achat",I88="Haussier"),AND(H88="Vente",I88="Baissier"))*1+OR(AND(H88="Achat",J88="Discount"),AND(H88="Vente",J88="Premium"))*1+AND(K88&lt;&gt;"",K88&lt;&gt;"Aucune")*1+OR(L88="CHoCH",L88="BOS")*1+(M88="Oui")*1+OR(G88="Londres",G88="New York")*1+(O88="Non")*1)</f>
        <v/>
      </c>
      <c r="Q88" s="27" t="str">
        <f aca="false">IF(P88="","",IF(P88=7,"A+",IF(P88&gt;=5,"B","C")))</f>
        <v/>
      </c>
      <c r="R88" s="29"/>
      <c r="S88" s="29"/>
      <c r="T88" s="27" t="str">
        <f aca="false">IF(OR(R88="",S88=""),"",R88+(R88-S88)*Paramètres!$B$6)</f>
        <v/>
      </c>
      <c r="U88" s="29"/>
      <c r="V88" s="27" t="str">
        <f aca="false">IF(OR(R88="",S88=""),"",ABS(R88-S88))</f>
        <v/>
      </c>
      <c r="W88" s="30" t="str">
        <f aca="false">IF(OR(U88="",V88="",N(V88)=0),"",ABS(U88-R88)/V88)</f>
        <v/>
      </c>
      <c r="X88" s="31"/>
      <c r="Y88" s="29"/>
      <c r="Z88" s="32"/>
      <c r="AA88" s="33" t="str">
        <f aca="false">IF(Y88="","",IF(Y88="Stop",-1,IF(Y88="BE",0,IF(Y88="TP1 + BE",Paramètres!$B$7*Paramètres!$B$6,IF(Y88="TP1 (100 %)",Paramètres!$B$6,IF(Y88="TP2",Paramètres!$B$7*Paramètres!$B$6+(1-Paramètres!$B$7)*N(W88),IF(Y88="Sortie manuelle",N(Z88),"")))))))</f>
        <v/>
      </c>
      <c r="AB88" s="34" t="str">
        <f aca="false">IF(AA88="","",AA88*IF(X88="",Paramètres!$B$5,X88))</f>
        <v/>
      </c>
      <c r="AC88" s="35" t="str">
        <f aca="false">IF(AB88="","",Paramètres!$B$4*(1+SUM(AB$5:AB88)))</f>
        <v/>
      </c>
      <c r="AD88" s="29"/>
      <c r="AE88" s="29"/>
      <c r="AF88" s="29"/>
      <c r="AG88" s="36"/>
      <c r="AH88" s="36"/>
      <c r="AI88" s="33" t="str">
        <f aca="false">IF(AA88="","",SUM(AA$5:AA88))</f>
        <v/>
      </c>
      <c r="AJ88" s="33" t="str">
        <f aca="false">IF(AI88="","",MAX(AI88,MAX(AJ$5:AJ87),0))</f>
        <v/>
      </c>
      <c r="AK88" s="33" t="str">
        <f aca="false">IF(AI88="","",AI88-AJ88)</f>
        <v/>
      </c>
      <c r="AL88" s="25" t="str">
        <f aca="false">IF(AA88="","",IF(AA88&lt;0,N(AL87)+1,0))</f>
        <v/>
      </c>
      <c r="AM88" s="37" t="str">
        <f aca="false">IF(B88="","",B88-WEEKDAY(B88,2)+1)</f>
        <v/>
      </c>
    </row>
    <row r="89" customFormat="false" ht="15" hidden="false" customHeight="false" outlineLevel="0" collapsed="false">
      <c r="A89" s="25" t="str">
        <f aca="false">IF(B89="","",ROW()-4)</f>
        <v/>
      </c>
      <c r="B89" s="26"/>
      <c r="C89" s="27" t="str">
        <f aca="false">IF(B89="","",CHOOSE(WEEKDAY(B89,2),"Lundi","Mardi","Mercredi","Jeudi","Vendredi","Samedi","Dimanche"))</f>
        <v/>
      </c>
      <c r="D89" s="28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5" t="str">
        <f aca="false">IF(B89="","",OR(AND(H89="Achat",I89="Haussier"),AND(H89="Vente",I89="Baissier"))*1+OR(AND(H89="Achat",J89="Discount"),AND(H89="Vente",J89="Premium"))*1+AND(K89&lt;&gt;"",K89&lt;&gt;"Aucune")*1+OR(L89="CHoCH",L89="BOS")*1+(M89="Oui")*1+OR(G89="Londres",G89="New York")*1+(O89="Non")*1)</f>
        <v/>
      </c>
      <c r="Q89" s="27" t="str">
        <f aca="false">IF(P89="","",IF(P89=7,"A+",IF(P89&gt;=5,"B","C")))</f>
        <v/>
      </c>
      <c r="R89" s="29"/>
      <c r="S89" s="29"/>
      <c r="T89" s="27" t="str">
        <f aca="false">IF(OR(R89="",S89=""),"",R89+(R89-S89)*Paramètres!$B$6)</f>
        <v/>
      </c>
      <c r="U89" s="29"/>
      <c r="V89" s="27" t="str">
        <f aca="false">IF(OR(R89="",S89=""),"",ABS(R89-S89))</f>
        <v/>
      </c>
      <c r="W89" s="30" t="str">
        <f aca="false">IF(OR(U89="",V89="",N(V89)=0),"",ABS(U89-R89)/V89)</f>
        <v/>
      </c>
      <c r="X89" s="31"/>
      <c r="Y89" s="29"/>
      <c r="Z89" s="32"/>
      <c r="AA89" s="33" t="str">
        <f aca="false">IF(Y89="","",IF(Y89="Stop",-1,IF(Y89="BE",0,IF(Y89="TP1 + BE",Paramètres!$B$7*Paramètres!$B$6,IF(Y89="TP1 (100 %)",Paramètres!$B$6,IF(Y89="TP2",Paramètres!$B$7*Paramètres!$B$6+(1-Paramètres!$B$7)*N(W89),IF(Y89="Sortie manuelle",N(Z89),"")))))))</f>
        <v/>
      </c>
      <c r="AB89" s="34" t="str">
        <f aca="false">IF(AA89="","",AA89*IF(X89="",Paramètres!$B$5,X89))</f>
        <v/>
      </c>
      <c r="AC89" s="35" t="str">
        <f aca="false">IF(AB89="","",Paramètres!$B$4*(1+SUM(AB$5:AB89)))</f>
        <v/>
      </c>
      <c r="AD89" s="29"/>
      <c r="AE89" s="29"/>
      <c r="AF89" s="29"/>
      <c r="AG89" s="36"/>
      <c r="AH89" s="36"/>
      <c r="AI89" s="33" t="str">
        <f aca="false">IF(AA89="","",SUM(AA$5:AA89))</f>
        <v/>
      </c>
      <c r="AJ89" s="33" t="str">
        <f aca="false">IF(AI89="","",MAX(AI89,MAX(AJ$5:AJ88),0))</f>
        <v/>
      </c>
      <c r="AK89" s="33" t="str">
        <f aca="false">IF(AI89="","",AI89-AJ89)</f>
        <v/>
      </c>
      <c r="AL89" s="25" t="str">
        <f aca="false">IF(AA89="","",IF(AA89&lt;0,N(AL88)+1,0))</f>
        <v/>
      </c>
      <c r="AM89" s="37" t="str">
        <f aca="false">IF(B89="","",B89-WEEKDAY(B89,2)+1)</f>
        <v/>
      </c>
    </row>
    <row r="90" customFormat="false" ht="15" hidden="false" customHeight="false" outlineLevel="0" collapsed="false">
      <c r="A90" s="25" t="str">
        <f aca="false">IF(B90="","",ROW()-4)</f>
        <v/>
      </c>
      <c r="B90" s="26"/>
      <c r="C90" s="27" t="str">
        <f aca="false">IF(B90="","",CHOOSE(WEEKDAY(B90,2),"Lundi","Mardi","Mercredi","Jeudi","Vendredi","Samedi","Dimanche"))</f>
        <v/>
      </c>
      <c r="D90" s="28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5" t="str">
        <f aca="false">IF(B90="","",OR(AND(H90="Achat",I90="Haussier"),AND(H90="Vente",I90="Baissier"))*1+OR(AND(H90="Achat",J90="Discount"),AND(H90="Vente",J90="Premium"))*1+AND(K90&lt;&gt;"",K90&lt;&gt;"Aucune")*1+OR(L90="CHoCH",L90="BOS")*1+(M90="Oui")*1+OR(G90="Londres",G90="New York")*1+(O90="Non")*1)</f>
        <v/>
      </c>
      <c r="Q90" s="27" t="str">
        <f aca="false">IF(P90="","",IF(P90=7,"A+",IF(P90&gt;=5,"B","C")))</f>
        <v/>
      </c>
      <c r="R90" s="29"/>
      <c r="S90" s="29"/>
      <c r="T90" s="27" t="str">
        <f aca="false">IF(OR(R90="",S90=""),"",R90+(R90-S90)*Paramètres!$B$6)</f>
        <v/>
      </c>
      <c r="U90" s="29"/>
      <c r="V90" s="27" t="str">
        <f aca="false">IF(OR(R90="",S90=""),"",ABS(R90-S90))</f>
        <v/>
      </c>
      <c r="W90" s="30" t="str">
        <f aca="false">IF(OR(U90="",V90="",N(V90)=0),"",ABS(U90-R90)/V90)</f>
        <v/>
      </c>
      <c r="X90" s="31"/>
      <c r="Y90" s="29"/>
      <c r="Z90" s="32"/>
      <c r="AA90" s="33" t="str">
        <f aca="false">IF(Y90="","",IF(Y90="Stop",-1,IF(Y90="BE",0,IF(Y90="TP1 + BE",Paramètres!$B$7*Paramètres!$B$6,IF(Y90="TP1 (100 %)",Paramètres!$B$6,IF(Y90="TP2",Paramètres!$B$7*Paramètres!$B$6+(1-Paramètres!$B$7)*N(W90),IF(Y90="Sortie manuelle",N(Z90),"")))))))</f>
        <v/>
      </c>
      <c r="AB90" s="34" t="str">
        <f aca="false">IF(AA90="","",AA90*IF(X90="",Paramètres!$B$5,X90))</f>
        <v/>
      </c>
      <c r="AC90" s="35" t="str">
        <f aca="false">IF(AB90="","",Paramètres!$B$4*(1+SUM(AB$5:AB90)))</f>
        <v/>
      </c>
      <c r="AD90" s="29"/>
      <c r="AE90" s="29"/>
      <c r="AF90" s="29"/>
      <c r="AG90" s="36"/>
      <c r="AH90" s="36"/>
      <c r="AI90" s="33" t="str">
        <f aca="false">IF(AA90="","",SUM(AA$5:AA90))</f>
        <v/>
      </c>
      <c r="AJ90" s="33" t="str">
        <f aca="false">IF(AI90="","",MAX(AI90,MAX(AJ$5:AJ89),0))</f>
        <v/>
      </c>
      <c r="AK90" s="33" t="str">
        <f aca="false">IF(AI90="","",AI90-AJ90)</f>
        <v/>
      </c>
      <c r="AL90" s="25" t="str">
        <f aca="false">IF(AA90="","",IF(AA90&lt;0,N(AL89)+1,0))</f>
        <v/>
      </c>
      <c r="AM90" s="37" t="str">
        <f aca="false">IF(B90="","",B90-WEEKDAY(B90,2)+1)</f>
        <v/>
      </c>
    </row>
    <row r="91" customFormat="false" ht="15" hidden="false" customHeight="false" outlineLevel="0" collapsed="false">
      <c r="A91" s="25" t="str">
        <f aca="false">IF(B91="","",ROW()-4)</f>
        <v/>
      </c>
      <c r="B91" s="26"/>
      <c r="C91" s="27" t="str">
        <f aca="false">IF(B91="","",CHOOSE(WEEKDAY(B91,2),"Lundi","Mardi","Mercredi","Jeudi","Vendredi","Samedi","Dimanche"))</f>
        <v/>
      </c>
      <c r="D91" s="28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5" t="str">
        <f aca="false">IF(B91="","",OR(AND(H91="Achat",I91="Haussier"),AND(H91="Vente",I91="Baissier"))*1+OR(AND(H91="Achat",J91="Discount"),AND(H91="Vente",J91="Premium"))*1+AND(K91&lt;&gt;"",K91&lt;&gt;"Aucune")*1+OR(L91="CHoCH",L91="BOS")*1+(M91="Oui")*1+OR(G91="Londres",G91="New York")*1+(O91="Non")*1)</f>
        <v/>
      </c>
      <c r="Q91" s="27" t="str">
        <f aca="false">IF(P91="","",IF(P91=7,"A+",IF(P91&gt;=5,"B","C")))</f>
        <v/>
      </c>
      <c r="R91" s="29"/>
      <c r="S91" s="29"/>
      <c r="T91" s="27" t="str">
        <f aca="false">IF(OR(R91="",S91=""),"",R91+(R91-S91)*Paramètres!$B$6)</f>
        <v/>
      </c>
      <c r="U91" s="29"/>
      <c r="V91" s="27" t="str">
        <f aca="false">IF(OR(R91="",S91=""),"",ABS(R91-S91))</f>
        <v/>
      </c>
      <c r="W91" s="30" t="str">
        <f aca="false">IF(OR(U91="",V91="",N(V91)=0),"",ABS(U91-R91)/V91)</f>
        <v/>
      </c>
      <c r="X91" s="31"/>
      <c r="Y91" s="29"/>
      <c r="Z91" s="32"/>
      <c r="AA91" s="33" t="str">
        <f aca="false">IF(Y91="","",IF(Y91="Stop",-1,IF(Y91="BE",0,IF(Y91="TP1 + BE",Paramètres!$B$7*Paramètres!$B$6,IF(Y91="TP1 (100 %)",Paramètres!$B$6,IF(Y91="TP2",Paramètres!$B$7*Paramètres!$B$6+(1-Paramètres!$B$7)*N(W91),IF(Y91="Sortie manuelle",N(Z91),"")))))))</f>
        <v/>
      </c>
      <c r="AB91" s="34" t="str">
        <f aca="false">IF(AA91="","",AA91*IF(X91="",Paramètres!$B$5,X91))</f>
        <v/>
      </c>
      <c r="AC91" s="35" t="str">
        <f aca="false">IF(AB91="","",Paramètres!$B$4*(1+SUM(AB$5:AB91)))</f>
        <v/>
      </c>
      <c r="AD91" s="29"/>
      <c r="AE91" s="29"/>
      <c r="AF91" s="29"/>
      <c r="AG91" s="36"/>
      <c r="AH91" s="36"/>
      <c r="AI91" s="33" t="str">
        <f aca="false">IF(AA91="","",SUM(AA$5:AA91))</f>
        <v/>
      </c>
      <c r="AJ91" s="33" t="str">
        <f aca="false">IF(AI91="","",MAX(AI91,MAX(AJ$5:AJ90),0))</f>
        <v/>
      </c>
      <c r="AK91" s="33" t="str">
        <f aca="false">IF(AI91="","",AI91-AJ91)</f>
        <v/>
      </c>
      <c r="AL91" s="25" t="str">
        <f aca="false">IF(AA91="","",IF(AA91&lt;0,N(AL90)+1,0))</f>
        <v/>
      </c>
      <c r="AM91" s="37" t="str">
        <f aca="false">IF(B91="","",B91-WEEKDAY(B91,2)+1)</f>
        <v/>
      </c>
    </row>
    <row r="92" customFormat="false" ht="15" hidden="false" customHeight="false" outlineLevel="0" collapsed="false">
      <c r="A92" s="25" t="str">
        <f aca="false">IF(B92="","",ROW()-4)</f>
        <v/>
      </c>
      <c r="B92" s="26"/>
      <c r="C92" s="27" t="str">
        <f aca="false">IF(B92="","",CHOOSE(WEEKDAY(B92,2),"Lundi","Mardi","Mercredi","Jeudi","Vendredi","Samedi","Dimanche"))</f>
        <v/>
      </c>
      <c r="D92" s="28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5" t="str">
        <f aca="false">IF(B92="","",OR(AND(H92="Achat",I92="Haussier"),AND(H92="Vente",I92="Baissier"))*1+OR(AND(H92="Achat",J92="Discount"),AND(H92="Vente",J92="Premium"))*1+AND(K92&lt;&gt;"",K92&lt;&gt;"Aucune")*1+OR(L92="CHoCH",L92="BOS")*1+(M92="Oui")*1+OR(G92="Londres",G92="New York")*1+(O92="Non")*1)</f>
        <v/>
      </c>
      <c r="Q92" s="27" t="str">
        <f aca="false">IF(P92="","",IF(P92=7,"A+",IF(P92&gt;=5,"B","C")))</f>
        <v/>
      </c>
      <c r="R92" s="29"/>
      <c r="S92" s="29"/>
      <c r="T92" s="27" t="str">
        <f aca="false">IF(OR(R92="",S92=""),"",R92+(R92-S92)*Paramètres!$B$6)</f>
        <v/>
      </c>
      <c r="U92" s="29"/>
      <c r="V92" s="27" t="str">
        <f aca="false">IF(OR(R92="",S92=""),"",ABS(R92-S92))</f>
        <v/>
      </c>
      <c r="W92" s="30" t="str">
        <f aca="false">IF(OR(U92="",V92="",N(V92)=0),"",ABS(U92-R92)/V92)</f>
        <v/>
      </c>
      <c r="X92" s="31"/>
      <c r="Y92" s="29"/>
      <c r="Z92" s="32"/>
      <c r="AA92" s="33" t="str">
        <f aca="false">IF(Y92="","",IF(Y92="Stop",-1,IF(Y92="BE",0,IF(Y92="TP1 + BE",Paramètres!$B$7*Paramètres!$B$6,IF(Y92="TP1 (100 %)",Paramètres!$B$6,IF(Y92="TP2",Paramètres!$B$7*Paramètres!$B$6+(1-Paramètres!$B$7)*N(W92),IF(Y92="Sortie manuelle",N(Z92),"")))))))</f>
        <v/>
      </c>
      <c r="AB92" s="34" t="str">
        <f aca="false">IF(AA92="","",AA92*IF(X92="",Paramètres!$B$5,X92))</f>
        <v/>
      </c>
      <c r="AC92" s="35" t="str">
        <f aca="false">IF(AB92="","",Paramètres!$B$4*(1+SUM(AB$5:AB92)))</f>
        <v/>
      </c>
      <c r="AD92" s="29"/>
      <c r="AE92" s="29"/>
      <c r="AF92" s="29"/>
      <c r="AG92" s="36"/>
      <c r="AH92" s="36"/>
      <c r="AI92" s="33" t="str">
        <f aca="false">IF(AA92="","",SUM(AA$5:AA92))</f>
        <v/>
      </c>
      <c r="AJ92" s="33" t="str">
        <f aca="false">IF(AI92="","",MAX(AI92,MAX(AJ$5:AJ91),0))</f>
        <v/>
      </c>
      <c r="AK92" s="33" t="str">
        <f aca="false">IF(AI92="","",AI92-AJ92)</f>
        <v/>
      </c>
      <c r="AL92" s="25" t="str">
        <f aca="false">IF(AA92="","",IF(AA92&lt;0,N(AL91)+1,0))</f>
        <v/>
      </c>
      <c r="AM92" s="37" t="str">
        <f aca="false">IF(B92="","",B92-WEEKDAY(B92,2)+1)</f>
        <v/>
      </c>
    </row>
    <row r="93" customFormat="false" ht="15" hidden="false" customHeight="false" outlineLevel="0" collapsed="false">
      <c r="A93" s="25" t="str">
        <f aca="false">IF(B93="","",ROW()-4)</f>
        <v/>
      </c>
      <c r="B93" s="26"/>
      <c r="C93" s="27" t="str">
        <f aca="false">IF(B93="","",CHOOSE(WEEKDAY(B93,2),"Lundi","Mardi","Mercredi","Jeudi","Vendredi","Samedi","Dimanche"))</f>
        <v/>
      </c>
      <c r="D93" s="28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5" t="str">
        <f aca="false">IF(B93="","",OR(AND(H93="Achat",I93="Haussier"),AND(H93="Vente",I93="Baissier"))*1+OR(AND(H93="Achat",J93="Discount"),AND(H93="Vente",J93="Premium"))*1+AND(K93&lt;&gt;"",K93&lt;&gt;"Aucune")*1+OR(L93="CHoCH",L93="BOS")*1+(M93="Oui")*1+OR(G93="Londres",G93="New York")*1+(O93="Non")*1)</f>
        <v/>
      </c>
      <c r="Q93" s="27" t="str">
        <f aca="false">IF(P93="","",IF(P93=7,"A+",IF(P93&gt;=5,"B","C")))</f>
        <v/>
      </c>
      <c r="R93" s="29"/>
      <c r="S93" s="29"/>
      <c r="T93" s="27" t="str">
        <f aca="false">IF(OR(R93="",S93=""),"",R93+(R93-S93)*Paramètres!$B$6)</f>
        <v/>
      </c>
      <c r="U93" s="29"/>
      <c r="V93" s="27" t="str">
        <f aca="false">IF(OR(R93="",S93=""),"",ABS(R93-S93))</f>
        <v/>
      </c>
      <c r="W93" s="30" t="str">
        <f aca="false">IF(OR(U93="",V93="",N(V93)=0),"",ABS(U93-R93)/V93)</f>
        <v/>
      </c>
      <c r="X93" s="31"/>
      <c r="Y93" s="29"/>
      <c r="Z93" s="32"/>
      <c r="AA93" s="33" t="str">
        <f aca="false">IF(Y93="","",IF(Y93="Stop",-1,IF(Y93="BE",0,IF(Y93="TP1 + BE",Paramètres!$B$7*Paramètres!$B$6,IF(Y93="TP1 (100 %)",Paramètres!$B$6,IF(Y93="TP2",Paramètres!$B$7*Paramètres!$B$6+(1-Paramètres!$B$7)*N(W93),IF(Y93="Sortie manuelle",N(Z93),"")))))))</f>
        <v/>
      </c>
      <c r="AB93" s="34" t="str">
        <f aca="false">IF(AA93="","",AA93*IF(X93="",Paramètres!$B$5,X93))</f>
        <v/>
      </c>
      <c r="AC93" s="35" t="str">
        <f aca="false">IF(AB93="","",Paramètres!$B$4*(1+SUM(AB$5:AB93)))</f>
        <v/>
      </c>
      <c r="AD93" s="29"/>
      <c r="AE93" s="29"/>
      <c r="AF93" s="29"/>
      <c r="AG93" s="36"/>
      <c r="AH93" s="36"/>
      <c r="AI93" s="33" t="str">
        <f aca="false">IF(AA93="","",SUM(AA$5:AA93))</f>
        <v/>
      </c>
      <c r="AJ93" s="33" t="str">
        <f aca="false">IF(AI93="","",MAX(AI93,MAX(AJ$5:AJ92),0))</f>
        <v/>
      </c>
      <c r="AK93" s="33" t="str">
        <f aca="false">IF(AI93="","",AI93-AJ93)</f>
        <v/>
      </c>
      <c r="AL93" s="25" t="str">
        <f aca="false">IF(AA93="","",IF(AA93&lt;0,N(AL92)+1,0))</f>
        <v/>
      </c>
      <c r="AM93" s="37" t="str">
        <f aca="false">IF(B93="","",B93-WEEKDAY(B93,2)+1)</f>
        <v/>
      </c>
    </row>
    <row r="94" customFormat="false" ht="15" hidden="false" customHeight="false" outlineLevel="0" collapsed="false">
      <c r="A94" s="25" t="str">
        <f aca="false">IF(B94="","",ROW()-4)</f>
        <v/>
      </c>
      <c r="B94" s="26"/>
      <c r="C94" s="27" t="str">
        <f aca="false">IF(B94="","",CHOOSE(WEEKDAY(B94,2),"Lundi","Mardi","Mercredi","Jeudi","Vendredi","Samedi","Dimanche"))</f>
        <v/>
      </c>
      <c r="D94" s="28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5" t="str">
        <f aca="false">IF(B94="","",OR(AND(H94="Achat",I94="Haussier"),AND(H94="Vente",I94="Baissier"))*1+OR(AND(H94="Achat",J94="Discount"),AND(H94="Vente",J94="Premium"))*1+AND(K94&lt;&gt;"",K94&lt;&gt;"Aucune")*1+OR(L94="CHoCH",L94="BOS")*1+(M94="Oui")*1+OR(G94="Londres",G94="New York")*1+(O94="Non")*1)</f>
        <v/>
      </c>
      <c r="Q94" s="27" t="str">
        <f aca="false">IF(P94="","",IF(P94=7,"A+",IF(P94&gt;=5,"B","C")))</f>
        <v/>
      </c>
      <c r="R94" s="29"/>
      <c r="S94" s="29"/>
      <c r="T94" s="27" t="str">
        <f aca="false">IF(OR(R94="",S94=""),"",R94+(R94-S94)*Paramètres!$B$6)</f>
        <v/>
      </c>
      <c r="U94" s="29"/>
      <c r="V94" s="27" t="str">
        <f aca="false">IF(OR(R94="",S94=""),"",ABS(R94-S94))</f>
        <v/>
      </c>
      <c r="W94" s="30" t="str">
        <f aca="false">IF(OR(U94="",V94="",N(V94)=0),"",ABS(U94-R94)/V94)</f>
        <v/>
      </c>
      <c r="X94" s="31"/>
      <c r="Y94" s="29"/>
      <c r="Z94" s="32"/>
      <c r="AA94" s="33" t="str">
        <f aca="false">IF(Y94="","",IF(Y94="Stop",-1,IF(Y94="BE",0,IF(Y94="TP1 + BE",Paramètres!$B$7*Paramètres!$B$6,IF(Y94="TP1 (100 %)",Paramètres!$B$6,IF(Y94="TP2",Paramètres!$B$7*Paramètres!$B$6+(1-Paramètres!$B$7)*N(W94),IF(Y94="Sortie manuelle",N(Z94),"")))))))</f>
        <v/>
      </c>
      <c r="AB94" s="34" t="str">
        <f aca="false">IF(AA94="","",AA94*IF(X94="",Paramètres!$B$5,X94))</f>
        <v/>
      </c>
      <c r="AC94" s="35" t="str">
        <f aca="false">IF(AB94="","",Paramètres!$B$4*(1+SUM(AB$5:AB94)))</f>
        <v/>
      </c>
      <c r="AD94" s="29"/>
      <c r="AE94" s="29"/>
      <c r="AF94" s="29"/>
      <c r="AG94" s="36"/>
      <c r="AH94" s="36"/>
      <c r="AI94" s="33" t="str">
        <f aca="false">IF(AA94="","",SUM(AA$5:AA94))</f>
        <v/>
      </c>
      <c r="AJ94" s="33" t="str">
        <f aca="false">IF(AI94="","",MAX(AI94,MAX(AJ$5:AJ93),0))</f>
        <v/>
      </c>
      <c r="AK94" s="33" t="str">
        <f aca="false">IF(AI94="","",AI94-AJ94)</f>
        <v/>
      </c>
      <c r="AL94" s="25" t="str">
        <f aca="false">IF(AA94="","",IF(AA94&lt;0,N(AL93)+1,0))</f>
        <v/>
      </c>
      <c r="AM94" s="37" t="str">
        <f aca="false">IF(B94="","",B94-WEEKDAY(B94,2)+1)</f>
        <v/>
      </c>
    </row>
    <row r="95" customFormat="false" ht="15" hidden="false" customHeight="false" outlineLevel="0" collapsed="false">
      <c r="A95" s="25" t="str">
        <f aca="false">IF(B95="","",ROW()-4)</f>
        <v/>
      </c>
      <c r="B95" s="26"/>
      <c r="C95" s="27" t="str">
        <f aca="false">IF(B95="","",CHOOSE(WEEKDAY(B95,2),"Lundi","Mardi","Mercredi","Jeudi","Vendredi","Samedi","Dimanche"))</f>
        <v/>
      </c>
      <c r="D95" s="28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5" t="str">
        <f aca="false">IF(B95="","",OR(AND(H95="Achat",I95="Haussier"),AND(H95="Vente",I95="Baissier"))*1+OR(AND(H95="Achat",J95="Discount"),AND(H95="Vente",J95="Premium"))*1+AND(K95&lt;&gt;"",K95&lt;&gt;"Aucune")*1+OR(L95="CHoCH",L95="BOS")*1+(M95="Oui")*1+OR(G95="Londres",G95="New York")*1+(O95="Non")*1)</f>
        <v/>
      </c>
      <c r="Q95" s="27" t="str">
        <f aca="false">IF(P95="","",IF(P95=7,"A+",IF(P95&gt;=5,"B","C")))</f>
        <v/>
      </c>
      <c r="R95" s="29"/>
      <c r="S95" s="29"/>
      <c r="T95" s="27" t="str">
        <f aca="false">IF(OR(R95="",S95=""),"",R95+(R95-S95)*Paramètres!$B$6)</f>
        <v/>
      </c>
      <c r="U95" s="29"/>
      <c r="V95" s="27" t="str">
        <f aca="false">IF(OR(R95="",S95=""),"",ABS(R95-S95))</f>
        <v/>
      </c>
      <c r="W95" s="30" t="str">
        <f aca="false">IF(OR(U95="",V95="",N(V95)=0),"",ABS(U95-R95)/V95)</f>
        <v/>
      </c>
      <c r="X95" s="31"/>
      <c r="Y95" s="29"/>
      <c r="Z95" s="32"/>
      <c r="AA95" s="33" t="str">
        <f aca="false">IF(Y95="","",IF(Y95="Stop",-1,IF(Y95="BE",0,IF(Y95="TP1 + BE",Paramètres!$B$7*Paramètres!$B$6,IF(Y95="TP1 (100 %)",Paramètres!$B$6,IF(Y95="TP2",Paramètres!$B$7*Paramètres!$B$6+(1-Paramètres!$B$7)*N(W95),IF(Y95="Sortie manuelle",N(Z95),"")))))))</f>
        <v/>
      </c>
      <c r="AB95" s="34" t="str">
        <f aca="false">IF(AA95="","",AA95*IF(X95="",Paramètres!$B$5,X95))</f>
        <v/>
      </c>
      <c r="AC95" s="35" t="str">
        <f aca="false">IF(AB95="","",Paramètres!$B$4*(1+SUM(AB$5:AB95)))</f>
        <v/>
      </c>
      <c r="AD95" s="29"/>
      <c r="AE95" s="29"/>
      <c r="AF95" s="29"/>
      <c r="AG95" s="36"/>
      <c r="AH95" s="36"/>
      <c r="AI95" s="33" t="str">
        <f aca="false">IF(AA95="","",SUM(AA$5:AA95))</f>
        <v/>
      </c>
      <c r="AJ95" s="33" t="str">
        <f aca="false">IF(AI95="","",MAX(AI95,MAX(AJ$5:AJ94),0))</f>
        <v/>
      </c>
      <c r="AK95" s="33" t="str">
        <f aca="false">IF(AI95="","",AI95-AJ95)</f>
        <v/>
      </c>
      <c r="AL95" s="25" t="str">
        <f aca="false">IF(AA95="","",IF(AA95&lt;0,N(AL94)+1,0))</f>
        <v/>
      </c>
      <c r="AM95" s="37" t="str">
        <f aca="false">IF(B95="","",B95-WEEKDAY(B95,2)+1)</f>
        <v/>
      </c>
    </row>
    <row r="96" customFormat="false" ht="15" hidden="false" customHeight="false" outlineLevel="0" collapsed="false">
      <c r="A96" s="25" t="str">
        <f aca="false">IF(B96="","",ROW()-4)</f>
        <v/>
      </c>
      <c r="B96" s="26"/>
      <c r="C96" s="27" t="str">
        <f aca="false">IF(B96="","",CHOOSE(WEEKDAY(B96,2),"Lundi","Mardi","Mercredi","Jeudi","Vendredi","Samedi","Dimanche"))</f>
        <v/>
      </c>
      <c r="D96" s="28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5" t="str">
        <f aca="false">IF(B96="","",OR(AND(H96="Achat",I96="Haussier"),AND(H96="Vente",I96="Baissier"))*1+OR(AND(H96="Achat",J96="Discount"),AND(H96="Vente",J96="Premium"))*1+AND(K96&lt;&gt;"",K96&lt;&gt;"Aucune")*1+OR(L96="CHoCH",L96="BOS")*1+(M96="Oui")*1+OR(G96="Londres",G96="New York")*1+(O96="Non")*1)</f>
        <v/>
      </c>
      <c r="Q96" s="27" t="str">
        <f aca="false">IF(P96="","",IF(P96=7,"A+",IF(P96&gt;=5,"B","C")))</f>
        <v/>
      </c>
      <c r="R96" s="29"/>
      <c r="S96" s="29"/>
      <c r="T96" s="27" t="str">
        <f aca="false">IF(OR(R96="",S96=""),"",R96+(R96-S96)*Paramètres!$B$6)</f>
        <v/>
      </c>
      <c r="U96" s="29"/>
      <c r="V96" s="27" t="str">
        <f aca="false">IF(OR(R96="",S96=""),"",ABS(R96-S96))</f>
        <v/>
      </c>
      <c r="W96" s="30" t="str">
        <f aca="false">IF(OR(U96="",V96="",N(V96)=0),"",ABS(U96-R96)/V96)</f>
        <v/>
      </c>
      <c r="X96" s="31"/>
      <c r="Y96" s="29"/>
      <c r="Z96" s="32"/>
      <c r="AA96" s="33" t="str">
        <f aca="false">IF(Y96="","",IF(Y96="Stop",-1,IF(Y96="BE",0,IF(Y96="TP1 + BE",Paramètres!$B$7*Paramètres!$B$6,IF(Y96="TP1 (100 %)",Paramètres!$B$6,IF(Y96="TP2",Paramètres!$B$7*Paramètres!$B$6+(1-Paramètres!$B$7)*N(W96),IF(Y96="Sortie manuelle",N(Z96),"")))))))</f>
        <v/>
      </c>
      <c r="AB96" s="34" t="str">
        <f aca="false">IF(AA96="","",AA96*IF(X96="",Paramètres!$B$5,X96))</f>
        <v/>
      </c>
      <c r="AC96" s="35" t="str">
        <f aca="false">IF(AB96="","",Paramètres!$B$4*(1+SUM(AB$5:AB96)))</f>
        <v/>
      </c>
      <c r="AD96" s="29"/>
      <c r="AE96" s="29"/>
      <c r="AF96" s="29"/>
      <c r="AG96" s="36"/>
      <c r="AH96" s="36"/>
      <c r="AI96" s="33" t="str">
        <f aca="false">IF(AA96="","",SUM(AA$5:AA96))</f>
        <v/>
      </c>
      <c r="AJ96" s="33" t="str">
        <f aca="false">IF(AI96="","",MAX(AI96,MAX(AJ$5:AJ95),0))</f>
        <v/>
      </c>
      <c r="AK96" s="33" t="str">
        <f aca="false">IF(AI96="","",AI96-AJ96)</f>
        <v/>
      </c>
      <c r="AL96" s="25" t="str">
        <f aca="false">IF(AA96="","",IF(AA96&lt;0,N(AL95)+1,0))</f>
        <v/>
      </c>
      <c r="AM96" s="37" t="str">
        <f aca="false">IF(B96="","",B96-WEEKDAY(B96,2)+1)</f>
        <v/>
      </c>
    </row>
    <row r="97" customFormat="false" ht="15" hidden="false" customHeight="false" outlineLevel="0" collapsed="false">
      <c r="A97" s="25" t="str">
        <f aca="false">IF(B97="","",ROW()-4)</f>
        <v/>
      </c>
      <c r="B97" s="26"/>
      <c r="C97" s="27" t="str">
        <f aca="false">IF(B97="","",CHOOSE(WEEKDAY(B97,2),"Lundi","Mardi","Mercredi","Jeudi","Vendredi","Samedi","Dimanche"))</f>
        <v/>
      </c>
      <c r="D97" s="28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5" t="str">
        <f aca="false">IF(B97="","",OR(AND(H97="Achat",I97="Haussier"),AND(H97="Vente",I97="Baissier"))*1+OR(AND(H97="Achat",J97="Discount"),AND(H97="Vente",J97="Premium"))*1+AND(K97&lt;&gt;"",K97&lt;&gt;"Aucune")*1+OR(L97="CHoCH",L97="BOS")*1+(M97="Oui")*1+OR(G97="Londres",G97="New York")*1+(O97="Non")*1)</f>
        <v/>
      </c>
      <c r="Q97" s="27" t="str">
        <f aca="false">IF(P97="","",IF(P97=7,"A+",IF(P97&gt;=5,"B","C")))</f>
        <v/>
      </c>
      <c r="R97" s="29"/>
      <c r="S97" s="29"/>
      <c r="T97" s="27" t="str">
        <f aca="false">IF(OR(R97="",S97=""),"",R97+(R97-S97)*Paramètres!$B$6)</f>
        <v/>
      </c>
      <c r="U97" s="29"/>
      <c r="V97" s="27" t="str">
        <f aca="false">IF(OR(R97="",S97=""),"",ABS(R97-S97))</f>
        <v/>
      </c>
      <c r="W97" s="30" t="str">
        <f aca="false">IF(OR(U97="",V97="",N(V97)=0),"",ABS(U97-R97)/V97)</f>
        <v/>
      </c>
      <c r="X97" s="31"/>
      <c r="Y97" s="29"/>
      <c r="Z97" s="32"/>
      <c r="AA97" s="33" t="str">
        <f aca="false">IF(Y97="","",IF(Y97="Stop",-1,IF(Y97="BE",0,IF(Y97="TP1 + BE",Paramètres!$B$7*Paramètres!$B$6,IF(Y97="TP1 (100 %)",Paramètres!$B$6,IF(Y97="TP2",Paramètres!$B$7*Paramètres!$B$6+(1-Paramètres!$B$7)*N(W97),IF(Y97="Sortie manuelle",N(Z97),"")))))))</f>
        <v/>
      </c>
      <c r="AB97" s="34" t="str">
        <f aca="false">IF(AA97="","",AA97*IF(X97="",Paramètres!$B$5,X97))</f>
        <v/>
      </c>
      <c r="AC97" s="35" t="str">
        <f aca="false">IF(AB97="","",Paramètres!$B$4*(1+SUM(AB$5:AB97)))</f>
        <v/>
      </c>
      <c r="AD97" s="29"/>
      <c r="AE97" s="29"/>
      <c r="AF97" s="29"/>
      <c r="AG97" s="36"/>
      <c r="AH97" s="36"/>
      <c r="AI97" s="33" t="str">
        <f aca="false">IF(AA97="","",SUM(AA$5:AA97))</f>
        <v/>
      </c>
      <c r="AJ97" s="33" t="str">
        <f aca="false">IF(AI97="","",MAX(AI97,MAX(AJ$5:AJ96),0))</f>
        <v/>
      </c>
      <c r="AK97" s="33" t="str">
        <f aca="false">IF(AI97="","",AI97-AJ97)</f>
        <v/>
      </c>
      <c r="AL97" s="25" t="str">
        <f aca="false">IF(AA97="","",IF(AA97&lt;0,N(AL96)+1,0))</f>
        <v/>
      </c>
      <c r="AM97" s="37" t="str">
        <f aca="false">IF(B97="","",B97-WEEKDAY(B97,2)+1)</f>
        <v/>
      </c>
    </row>
    <row r="98" customFormat="false" ht="15" hidden="false" customHeight="false" outlineLevel="0" collapsed="false">
      <c r="A98" s="25" t="str">
        <f aca="false">IF(B98="","",ROW()-4)</f>
        <v/>
      </c>
      <c r="B98" s="26"/>
      <c r="C98" s="27" t="str">
        <f aca="false">IF(B98="","",CHOOSE(WEEKDAY(B98,2),"Lundi","Mardi","Mercredi","Jeudi","Vendredi","Samedi","Dimanche"))</f>
        <v/>
      </c>
      <c r="D98" s="28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5" t="str">
        <f aca="false">IF(B98="","",OR(AND(H98="Achat",I98="Haussier"),AND(H98="Vente",I98="Baissier"))*1+OR(AND(H98="Achat",J98="Discount"),AND(H98="Vente",J98="Premium"))*1+AND(K98&lt;&gt;"",K98&lt;&gt;"Aucune")*1+OR(L98="CHoCH",L98="BOS")*1+(M98="Oui")*1+OR(G98="Londres",G98="New York")*1+(O98="Non")*1)</f>
        <v/>
      </c>
      <c r="Q98" s="27" t="str">
        <f aca="false">IF(P98="","",IF(P98=7,"A+",IF(P98&gt;=5,"B","C")))</f>
        <v/>
      </c>
      <c r="R98" s="29"/>
      <c r="S98" s="29"/>
      <c r="T98" s="27" t="str">
        <f aca="false">IF(OR(R98="",S98=""),"",R98+(R98-S98)*Paramètres!$B$6)</f>
        <v/>
      </c>
      <c r="U98" s="29"/>
      <c r="V98" s="27" t="str">
        <f aca="false">IF(OR(R98="",S98=""),"",ABS(R98-S98))</f>
        <v/>
      </c>
      <c r="W98" s="30" t="str">
        <f aca="false">IF(OR(U98="",V98="",N(V98)=0),"",ABS(U98-R98)/V98)</f>
        <v/>
      </c>
      <c r="X98" s="31"/>
      <c r="Y98" s="29"/>
      <c r="Z98" s="32"/>
      <c r="AA98" s="33" t="str">
        <f aca="false">IF(Y98="","",IF(Y98="Stop",-1,IF(Y98="BE",0,IF(Y98="TP1 + BE",Paramètres!$B$7*Paramètres!$B$6,IF(Y98="TP1 (100 %)",Paramètres!$B$6,IF(Y98="TP2",Paramètres!$B$7*Paramètres!$B$6+(1-Paramètres!$B$7)*N(W98),IF(Y98="Sortie manuelle",N(Z98),"")))))))</f>
        <v/>
      </c>
      <c r="AB98" s="34" t="str">
        <f aca="false">IF(AA98="","",AA98*IF(X98="",Paramètres!$B$5,X98))</f>
        <v/>
      </c>
      <c r="AC98" s="35" t="str">
        <f aca="false">IF(AB98="","",Paramètres!$B$4*(1+SUM(AB$5:AB98)))</f>
        <v/>
      </c>
      <c r="AD98" s="29"/>
      <c r="AE98" s="29"/>
      <c r="AF98" s="29"/>
      <c r="AG98" s="36"/>
      <c r="AH98" s="36"/>
      <c r="AI98" s="33" t="str">
        <f aca="false">IF(AA98="","",SUM(AA$5:AA98))</f>
        <v/>
      </c>
      <c r="AJ98" s="33" t="str">
        <f aca="false">IF(AI98="","",MAX(AI98,MAX(AJ$5:AJ97),0))</f>
        <v/>
      </c>
      <c r="AK98" s="33" t="str">
        <f aca="false">IF(AI98="","",AI98-AJ98)</f>
        <v/>
      </c>
      <c r="AL98" s="25" t="str">
        <f aca="false">IF(AA98="","",IF(AA98&lt;0,N(AL97)+1,0))</f>
        <v/>
      </c>
      <c r="AM98" s="37" t="str">
        <f aca="false">IF(B98="","",B98-WEEKDAY(B98,2)+1)</f>
        <v/>
      </c>
    </row>
    <row r="99" customFormat="false" ht="15" hidden="false" customHeight="false" outlineLevel="0" collapsed="false">
      <c r="A99" s="25" t="str">
        <f aca="false">IF(B99="","",ROW()-4)</f>
        <v/>
      </c>
      <c r="B99" s="26"/>
      <c r="C99" s="27" t="str">
        <f aca="false">IF(B99="","",CHOOSE(WEEKDAY(B99,2),"Lundi","Mardi","Mercredi","Jeudi","Vendredi","Samedi","Dimanche"))</f>
        <v/>
      </c>
      <c r="D99" s="28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5" t="str">
        <f aca="false">IF(B99="","",OR(AND(H99="Achat",I99="Haussier"),AND(H99="Vente",I99="Baissier"))*1+OR(AND(H99="Achat",J99="Discount"),AND(H99="Vente",J99="Premium"))*1+AND(K99&lt;&gt;"",K99&lt;&gt;"Aucune")*1+OR(L99="CHoCH",L99="BOS")*1+(M99="Oui")*1+OR(G99="Londres",G99="New York")*1+(O99="Non")*1)</f>
        <v/>
      </c>
      <c r="Q99" s="27" t="str">
        <f aca="false">IF(P99="","",IF(P99=7,"A+",IF(P99&gt;=5,"B","C")))</f>
        <v/>
      </c>
      <c r="R99" s="29"/>
      <c r="S99" s="29"/>
      <c r="T99" s="27" t="str">
        <f aca="false">IF(OR(R99="",S99=""),"",R99+(R99-S99)*Paramètres!$B$6)</f>
        <v/>
      </c>
      <c r="U99" s="29"/>
      <c r="V99" s="27" t="str">
        <f aca="false">IF(OR(R99="",S99=""),"",ABS(R99-S99))</f>
        <v/>
      </c>
      <c r="W99" s="30" t="str">
        <f aca="false">IF(OR(U99="",V99="",N(V99)=0),"",ABS(U99-R99)/V99)</f>
        <v/>
      </c>
      <c r="X99" s="31"/>
      <c r="Y99" s="29"/>
      <c r="Z99" s="32"/>
      <c r="AA99" s="33" t="str">
        <f aca="false">IF(Y99="","",IF(Y99="Stop",-1,IF(Y99="BE",0,IF(Y99="TP1 + BE",Paramètres!$B$7*Paramètres!$B$6,IF(Y99="TP1 (100 %)",Paramètres!$B$6,IF(Y99="TP2",Paramètres!$B$7*Paramètres!$B$6+(1-Paramètres!$B$7)*N(W99),IF(Y99="Sortie manuelle",N(Z99),"")))))))</f>
        <v/>
      </c>
      <c r="AB99" s="34" t="str">
        <f aca="false">IF(AA99="","",AA99*IF(X99="",Paramètres!$B$5,X99))</f>
        <v/>
      </c>
      <c r="AC99" s="35" t="str">
        <f aca="false">IF(AB99="","",Paramètres!$B$4*(1+SUM(AB$5:AB99)))</f>
        <v/>
      </c>
      <c r="AD99" s="29"/>
      <c r="AE99" s="29"/>
      <c r="AF99" s="29"/>
      <c r="AG99" s="36"/>
      <c r="AH99" s="36"/>
      <c r="AI99" s="33" t="str">
        <f aca="false">IF(AA99="","",SUM(AA$5:AA99))</f>
        <v/>
      </c>
      <c r="AJ99" s="33" t="str">
        <f aca="false">IF(AI99="","",MAX(AI99,MAX(AJ$5:AJ98),0))</f>
        <v/>
      </c>
      <c r="AK99" s="33" t="str">
        <f aca="false">IF(AI99="","",AI99-AJ99)</f>
        <v/>
      </c>
      <c r="AL99" s="25" t="str">
        <f aca="false">IF(AA99="","",IF(AA99&lt;0,N(AL98)+1,0))</f>
        <v/>
      </c>
      <c r="AM99" s="37" t="str">
        <f aca="false">IF(B99="","",B99-WEEKDAY(B99,2)+1)</f>
        <v/>
      </c>
    </row>
    <row r="100" customFormat="false" ht="15" hidden="false" customHeight="false" outlineLevel="0" collapsed="false">
      <c r="A100" s="25" t="str">
        <f aca="false">IF(B100="","",ROW()-4)</f>
        <v/>
      </c>
      <c r="B100" s="26"/>
      <c r="C100" s="27" t="str">
        <f aca="false">IF(B100="","",CHOOSE(WEEKDAY(B100,2),"Lundi","Mardi","Mercredi","Jeudi","Vendredi","Samedi","Dimanche"))</f>
        <v/>
      </c>
      <c r="D100" s="28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5" t="str">
        <f aca="false">IF(B100="","",OR(AND(H100="Achat",I100="Haussier"),AND(H100="Vente",I100="Baissier"))*1+OR(AND(H100="Achat",J100="Discount"),AND(H100="Vente",J100="Premium"))*1+AND(K100&lt;&gt;"",K100&lt;&gt;"Aucune")*1+OR(L100="CHoCH",L100="BOS")*1+(M100="Oui")*1+OR(G100="Londres",G100="New York")*1+(O100="Non")*1)</f>
        <v/>
      </c>
      <c r="Q100" s="27" t="str">
        <f aca="false">IF(P100="","",IF(P100=7,"A+",IF(P100&gt;=5,"B","C")))</f>
        <v/>
      </c>
      <c r="R100" s="29"/>
      <c r="S100" s="29"/>
      <c r="T100" s="27" t="str">
        <f aca="false">IF(OR(R100="",S100=""),"",R100+(R100-S100)*Paramètres!$B$6)</f>
        <v/>
      </c>
      <c r="U100" s="29"/>
      <c r="V100" s="27" t="str">
        <f aca="false">IF(OR(R100="",S100=""),"",ABS(R100-S100))</f>
        <v/>
      </c>
      <c r="W100" s="30" t="str">
        <f aca="false">IF(OR(U100="",V100="",N(V100)=0),"",ABS(U100-R100)/V100)</f>
        <v/>
      </c>
      <c r="X100" s="31"/>
      <c r="Y100" s="29"/>
      <c r="Z100" s="32"/>
      <c r="AA100" s="33" t="str">
        <f aca="false">IF(Y100="","",IF(Y100="Stop",-1,IF(Y100="BE",0,IF(Y100="TP1 + BE",Paramètres!$B$7*Paramètres!$B$6,IF(Y100="TP1 (100 %)",Paramètres!$B$6,IF(Y100="TP2",Paramètres!$B$7*Paramètres!$B$6+(1-Paramètres!$B$7)*N(W100),IF(Y100="Sortie manuelle",N(Z100),"")))))))</f>
        <v/>
      </c>
      <c r="AB100" s="34" t="str">
        <f aca="false">IF(AA100="","",AA100*IF(X100="",Paramètres!$B$5,X100))</f>
        <v/>
      </c>
      <c r="AC100" s="35" t="str">
        <f aca="false">IF(AB100="","",Paramètres!$B$4*(1+SUM(AB$5:AB100)))</f>
        <v/>
      </c>
      <c r="AD100" s="29"/>
      <c r="AE100" s="29"/>
      <c r="AF100" s="29"/>
      <c r="AG100" s="36"/>
      <c r="AH100" s="36"/>
      <c r="AI100" s="33" t="str">
        <f aca="false">IF(AA100="","",SUM(AA$5:AA100))</f>
        <v/>
      </c>
      <c r="AJ100" s="33" t="str">
        <f aca="false">IF(AI100="","",MAX(AI100,MAX(AJ$5:AJ99),0))</f>
        <v/>
      </c>
      <c r="AK100" s="33" t="str">
        <f aca="false">IF(AI100="","",AI100-AJ100)</f>
        <v/>
      </c>
      <c r="AL100" s="25" t="str">
        <f aca="false">IF(AA100="","",IF(AA100&lt;0,N(AL99)+1,0))</f>
        <v/>
      </c>
      <c r="AM100" s="37" t="str">
        <f aca="false">IF(B100="","",B100-WEEKDAY(B100,2)+1)</f>
        <v/>
      </c>
    </row>
    <row r="101" customFormat="false" ht="15" hidden="false" customHeight="false" outlineLevel="0" collapsed="false">
      <c r="A101" s="25" t="str">
        <f aca="false">IF(B101="","",ROW()-4)</f>
        <v/>
      </c>
      <c r="B101" s="26"/>
      <c r="C101" s="27" t="str">
        <f aca="false">IF(B101="","",CHOOSE(WEEKDAY(B101,2),"Lundi","Mardi","Mercredi","Jeudi","Vendredi","Samedi","Dimanche"))</f>
        <v/>
      </c>
      <c r="D101" s="28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5" t="str">
        <f aca="false">IF(B101="","",OR(AND(H101="Achat",I101="Haussier"),AND(H101="Vente",I101="Baissier"))*1+OR(AND(H101="Achat",J101="Discount"),AND(H101="Vente",J101="Premium"))*1+AND(K101&lt;&gt;"",K101&lt;&gt;"Aucune")*1+OR(L101="CHoCH",L101="BOS")*1+(M101="Oui")*1+OR(G101="Londres",G101="New York")*1+(O101="Non")*1)</f>
        <v/>
      </c>
      <c r="Q101" s="27" t="str">
        <f aca="false">IF(P101="","",IF(P101=7,"A+",IF(P101&gt;=5,"B","C")))</f>
        <v/>
      </c>
      <c r="R101" s="29"/>
      <c r="S101" s="29"/>
      <c r="T101" s="27" t="str">
        <f aca="false">IF(OR(R101="",S101=""),"",R101+(R101-S101)*Paramètres!$B$6)</f>
        <v/>
      </c>
      <c r="U101" s="29"/>
      <c r="V101" s="27" t="str">
        <f aca="false">IF(OR(R101="",S101=""),"",ABS(R101-S101))</f>
        <v/>
      </c>
      <c r="W101" s="30" t="str">
        <f aca="false">IF(OR(U101="",V101="",N(V101)=0),"",ABS(U101-R101)/V101)</f>
        <v/>
      </c>
      <c r="X101" s="31"/>
      <c r="Y101" s="29"/>
      <c r="Z101" s="32"/>
      <c r="AA101" s="33" t="str">
        <f aca="false">IF(Y101="","",IF(Y101="Stop",-1,IF(Y101="BE",0,IF(Y101="TP1 + BE",Paramètres!$B$7*Paramètres!$B$6,IF(Y101="TP1 (100 %)",Paramètres!$B$6,IF(Y101="TP2",Paramètres!$B$7*Paramètres!$B$6+(1-Paramètres!$B$7)*N(W101),IF(Y101="Sortie manuelle",N(Z101),"")))))))</f>
        <v/>
      </c>
      <c r="AB101" s="34" t="str">
        <f aca="false">IF(AA101="","",AA101*IF(X101="",Paramètres!$B$5,X101))</f>
        <v/>
      </c>
      <c r="AC101" s="35" t="str">
        <f aca="false">IF(AB101="","",Paramètres!$B$4*(1+SUM(AB$5:AB101)))</f>
        <v/>
      </c>
      <c r="AD101" s="29"/>
      <c r="AE101" s="29"/>
      <c r="AF101" s="29"/>
      <c r="AG101" s="36"/>
      <c r="AH101" s="36"/>
      <c r="AI101" s="33" t="str">
        <f aca="false">IF(AA101="","",SUM(AA$5:AA101))</f>
        <v/>
      </c>
      <c r="AJ101" s="33" t="str">
        <f aca="false">IF(AI101="","",MAX(AI101,MAX(AJ$5:AJ100),0))</f>
        <v/>
      </c>
      <c r="AK101" s="33" t="str">
        <f aca="false">IF(AI101="","",AI101-AJ101)</f>
        <v/>
      </c>
      <c r="AL101" s="25" t="str">
        <f aca="false">IF(AA101="","",IF(AA101&lt;0,N(AL100)+1,0))</f>
        <v/>
      </c>
      <c r="AM101" s="37" t="str">
        <f aca="false">IF(B101="","",B101-WEEKDAY(B101,2)+1)</f>
        <v/>
      </c>
    </row>
    <row r="102" customFormat="false" ht="15" hidden="false" customHeight="false" outlineLevel="0" collapsed="false">
      <c r="A102" s="25" t="str">
        <f aca="false">IF(B102="","",ROW()-4)</f>
        <v/>
      </c>
      <c r="B102" s="26"/>
      <c r="C102" s="27" t="str">
        <f aca="false">IF(B102="","",CHOOSE(WEEKDAY(B102,2),"Lundi","Mardi","Mercredi","Jeudi","Vendredi","Samedi","Dimanche"))</f>
        <v/>
      </c>
      <c r="D102" s="28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5" t="str">
        <f aca="false">IF(B102="","",OR(AND(H102="Achat",I102="Haussier"),AND(H102="Vente",I102="Baissier"))*1+OR(AND(H102="Achat",J102="Discount"),AND(H102="Vente",J102="Premium"))*1+AND(K102&lt;&gt;"",K102&lt;&gt;"Aucune")*1+OR(L102="CHoCH",L102="BOS")*1+(M102="Oui")*1+OR(G102="Londres",G102="New York")*1+(O102="Non")*1)</f>
        <v/>
      </c>
      <c r="Q102" s="27" t="str">
        <f aca="false">IF(P102="","",IF(P102=7,"A+",IF(P102&gt;=5,"B","C")))</f>
        <v/>
      </c>
      <c r="R102" s="29"/>
      <c r="S102" s="29"/>
      <c r="T102" s="27" t="str">
        <f aca="false">IF(OR(R102="",S102=""),"",R102+(R102-S102)*Paramètres!$B$6)</f>
        <v/>
      </c>
      <c r="U102" s="29"/>
      <c r="V102" s="27" t="str">
        <f aca="false">IF(OR(R102="",S102=""),"",ABS(R102-S102))</f>
        <v/>
      </c>
      <c r="W102" s="30" t="str">
        <f aca="false">IF(OR(U102="",V102="",N(V102)=0),"",ABS(U102-R102)/V102)</f>
        <v/>
      </c>
      <c r="X102" s="31"/>
      <c r="Y102" s="29"/>
      <c r="Z102" s="32"/>
      <c r="AA102" s="33" t="str">
        <f aca="false">IF(Y102="","",IF(Y102="Stop",-1,IF(Y102="BE",0,IF(Y102="TP1 + BE",Paramètres!$B$7*Paramètres!$B$6,IF(Y102="TP1 (100 %)",Paramètres!$B$6,IF(Y102="TP2",Paramètres!$B$7*Paramètres!$B$6+(1-Paramètres!$B$7)*N(W102),IF(Y102="Sortie manuelle",N(Z102),"")))))))</f>
        <v/>
      </c>
      <c r="AB102" s="34" t="str">
        <f aca="false">IF(AA102="","",AA102*IF(X102="",Paramètres!$B$5,X102))</f>
        <v/>
      </c>
      <c r="AC102" s="35" t="str">
        <f aca="false">IF(AB102="","",Paramètres!$B$4*(1+SUM(AB$5:AB102)))</f>
        <v/>
      </c>
      <c r="AD102" s="29"/>
      <c r="AE102" s="29"/>
      <c r="AF102" s="29"/>
      <c r="AG102" s="36"/>
      <c r="AH102" s="36"/>
      <c r="AI102" s="33" t="str">
        <f aca="false">IF(AA102="","",SUM(AA$5:AA102))</f>
        <v/>
      </c>
      <c r="AJ102" s="33" t="str">
        <f aca="false">IF(AI102="","",MAX(AI102,MAX(AJ$5:AJ101),0))</f>
        <v/>
      </c>
      <c r="AK102" s="33" t="str">
        <f aca="false">IF(AI102="","",AI102-AJ102)</f>
        <v/>
      </c>
      <c r="AL102" s="25" t="str">
        <f aca="false">IF(AA102="","",IF(AA102&lt;0,N(AL101)+1,0))</f>
        <v/>
      </c>
      <c r="AM102" s="37" t="str">
        <f aca="false">IF(B102="","",B102-WEEKDAY(B102,2)+1)</f>
        <v/>
      </c>
    </row>
    <row r="103" customFormat="false" ht="15" hidden="false" customHeight="false" outlineLevel="0" collapsed="false">
      <c r="A103" s="25" t="str">
        <f aca="false">IF(B103="","",ROW()-4)</f>
        <v/>
      </c>
      <c r="B103" s="26"/>
      <c r="C103" s="27" t="str">
        <f aca="false">IF(B103="","",CHOOSE(WEEKDAY(B103,2),"Lundi","Mardi","Mercredi","Jeudi","Vendredi","Samedi","Dimanche"))</f>
        <v/>
      </c>
      <c r="D103" s="28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5" t="str">
        <f aca="false">IF(B103="","",OR(AND(H103="Achat",I103="Haussier"),AND(H103="Vente",I103="Baissier"))*1+OR(AND(H103="Achat",J103="Discount"),AND(H103="Vente",J103="Premium"))*1+AND(K103&lt;&gt;"",K103&lt;&gt;"Aucune")*1+OR(L103="CHoCH",L103="BOS")*1+(M103="Oui")*1+OR(G103="Londres",G103="New York")*1+(O103="Non")*1)</f>
        <v/>
      </c>
      <c r="Q103" s="27" t="str">
        <f aca="false">IF(P103="","",IF(P103=7,"A+",IF(P103&gt;=5,"B","C")))</f>
        <v/>
      </c>
      <c r="R103" s="29"/>
      <c r="S103" s="29"/>
      <c r="T103" s="27" t="str">
        <f aca="false">IF(OR(R103="",S103=""),"",R103+(R103-S103)*Paramètres!$B$6)</f>
        <v/>
      </c>
      <c r="U103" s="29"/>
      <c r="V103" s="27" t="str">
        <f aca="false">IF(OR(R103="",S103=""),"",ABS(R103-S103))</f>
        <v/>
      </c>
      <c r="W103" s="30" t="str">
        <f aca="false">IF(OR(U103="",V103="",N(V103)=0),"",ABS(U103-R103)/V103)</f>
        <v/>
      </c>
      <c r="X103" s="31"/>
      <c r="Y103" s="29"/>
      <c r="Z103" s="32"/>
      <c r="AA103" s="33" t="str">
        <f aca="false">IF(Y103="","",IF(Y103="Stop",-1,IF(Y103="BE",0,IF(Y103="TP1 + BE",Paramètres!$B$7*Paramètres!$B$6,IF(Y103="TP1 (100 %)",Paramètres!$B$6,IF(Y103="TP2",Paramètres!$B$7*Paramètres!$B$6+(1-Paramètres!$B$7)*N(W103),IF(Y103="Sortie manuelle",N(Z103),"")))))))</f>
        <v/>
      </c>
      <c r="AB103" s="34" t="str">
        <f aca="false">IF(AA103="","",AA103*IF(X103="",Paramètres!$B$5,X103))</f>
        <v/>
      </c>
      <c r="AC103" s="35" t="str">
        <f aca="false">IF(AB103="","",Paramètres!$B$4*(1+SUM(AB$5:AB103)))</f>
        <v/>
      </c>
      <c r="AD103" s="29"/>
      <c r="AE103" s="29"/>
      <c r="AF103" s="29"/>
      <c r="AG103" s="36"/>
      <c r="AH103" s="36"/>
      <c r="AI103" s="33" t="str">
        <f aca="false">IF(AA103="","",SUM(AA$5:AA103))</f>
        <v/>
      </c>
      <c r="AJ103" s="33" t="str">
        <f aca="false">IF(AI103="","",MAX(AI103,MAX(AJ$5:AJ102),0))</f>
        <v/>
      </c>
      <c r="AK103" s="33" t="str">
        <f aca="false">IF(AI103="","",AI103-AJ103)</f>
        <v/>
      </c>
      <c r="AL103" s="25" t="str">
        <f aca="false">IF(AA103="","",IF(AA103&lt;0,N(AL102)+1,0))</f>
        <v/>
      </c>
      <c r="AM103" s="37" t="str">
        <f aca="false">IF(B103="","",B103-WEEKDAY(B103,2)+1)</f>
        <v/>
      </c>
    </row>
    <row r="104" customFormat="false" ht="15" hidden="false" customHeight="false" outlineLevel="0" collapsed="false">
      <c r="A104" s="25" t="str">
        <f aca="false">IF(B104="","",ROW()-4)</f>
        <v/>
      </c>
      <c r="B104" s="26"/>
      <c r="C104" s="27" t="str">
        <f aca="false">IF(B104="","",CHOOSE(WEEKDAY(B104,2),"Lundi","Mardi","Mercredi","Jeudi","Vendredi","Samedi","Dimanche"))</f>
        <v/>
      </c>
      <c r="D104" s="28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5" t="str">
        <f aca="false">IF(B104="","",OR(AND(H104="Achat",I104="Haussier"),AND(H104="Vente",I104="Baissier"))*1+OR(AND(H104="Achat",J104="Discount"),AND(H104="Vente",J104="Premium"))*1+AND(K104&lt;&gt;"",K104&lt;&gt;"Aucune")*1+OR(L104="CHoCH",L104="BOS")*1+(M104="Oui")*1+OR(G104="Londres",G104="New York")*1+(O104="Non")*1)</f>
        <v/>
      </c>
      <c r="Q104" s="27" t="str">
        <f aca="false">IF(P104="","",IF(P104=7,"A+",IF(P104&gt;=5,"B","C")))</f>
        <v/>
      </c>
      <c r="R104" s="29"/>
      <c r="S104" s="29"/>
      <c r="T104" s="27" t="str">
        <f aca="false">IF(OR(R104="",S104=""),"",R104+(R104-S104)*Paramètres!$B$6)</f>
        <v/>
      </c>
      <c r="U104" s="29"/>
      <c r="V104" s="27" t="str">
        <f aca="false">IF(OR(R104="",S104=""),"",ABS(R104-S104))</f>
        <v/>
      </c>
      <c r="W104" s="30" t="str">
        <f aca="false">IF(OR(U104="",V104="",N(V104)=0),"",ABS(U104-R104)/V104)</f>
        <v/>
      </c>
      <c r="X104" s="31"/>
      <c r="Y104" s="29"/>
      <c r="Z104" s="32"/>
      <c r="AA104" s="33" t="str">
        <f aca="false">IF(Y104="","",IF(Y104="Stop",-1,IF(Y104="BE",0,IF(Y104="TP1 + BE",Paramètres!$B$7*Paramètres!$B$6,IF(Y104="TP1 (100 %)",Paramètres!$B$6,IF(Y104="TP2",Paramètres!$B$7*Paramètres!$B$6+(1-Paramètres!$B$7)*N(W104),IF(Y104="Sortie manuelle",N(Z104),"")))))))</f>
        <v/>
      </c>
      <c r="AB104" s="34" t="str">
        <f aca="false">IF(AA104="","",AA104*IF(X104="",Paramètres!$B$5,X104))</f>
        <v/>
      </c>
      <c r="AC104" s="35" t="str">
        <f aca="false">IF(AB104="","",Paramètres!$B$4*(1+SUM(AB$5:AB104)))</f>
        <v/>
      </c>
      <c r="AD104" s="29"/>
      <c r="AE104" s="29"/>
      <c r="AF104" s="29"/>
      <c r="AG104" s="36"/>
      <c r="AH104" s="36"/>
      <c r="AI104" s="33" t="str">
        <f aca="false">IF(AA104="","",SUM(AA$5:AA104))</f>
        <v/>
      </c>
      <c r="AJ104" s="33" t="str">
        <f aca="false">IF(AI104="","",MAX(AI104,MAX(AJ$5:AJ103),0))</f>
        <v/>
      </c>
      <c r="AK104" s="33" t="str">
        <f aca="false">IF(AI104="","",AI104-AJ104)</f>
        <v/>
      </c>
      <c r="AL104" s="25" t="str">
        <f aca="false">IF(AA104="","",IF(AA104&lt;0,N(AL103)+1,0))</f>
        <v/>
      </c>
      <c r="AM104" s="37" t="str">
        <f aca="false">IF(B104="","",B104-WEEKDAY(B104,2)+1)</f>
        <v/>
      </c>
    </row>
    <row r="105" customFormat="false" ht="15" hidden="false" customHeight="false" outlineLevel="0" collapsed="false">
      <c r="A105" s="25" t="str">
        <f aca="false">IF(B105="","",ROW()-4)</f>
        <v/>
      </c>
      <c r="B105" s="26"/>
      <c r="C105" s="27" t="str">
        <f aca="false">IF(B105="","",CHOOSE(WEEKDAY(B105,2),"Lundi","Mardi","Mercredi","Jeudi","Vendredi","Samedi","Dimanche"))</f>
        <v/>
      </c>
      <c r="D105" s="28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5" t="str">
        <f aca="false">IF(B105="","",OR(AND(H105="Achat",I105="Haussier"),AND(H105="Vente",I105="Baissier"))*1+OR(AND(H105="Achat",J105="Discount"),AND(H105="Vente",J105="Premium"))*1+AND(K105&lt;&gt;"",K105&lt;&gt;"Aucune")*1+OR(L105="CHoCH",L105="BOS")*1+(M105="Oui")*1+OR(G105="Londres",G105="New York")*1+(O105="Non")*1)</f>
        <v/>
      </c>
      <c r="Q105" s="27" t="str">
        <f aca="false">IF(P105="","",IF(P105=7,"A+",IF(P105&gt;=5,"B","C")))</f>
        <v/>
      </c>
      <c r="R105" s="29"/>
      <c r="S105" s="29"/>
      <c r="T105" s="27" t="str">
        <f aca="false">IF(OR(R105="",S105=""),"",R105+(R105-S105)*Paramètres!$B$6)</f>
        <v/>
      </c>
      <c r="U105" s="29"/>
      <c r="V105" s="27" t="str">
        <f aca="false">IF(OR(R105="",S105=""),"",ABS(R105-S105))</f>
        <v/>
      </c>
      <c r="W105" s="30" t="str">
        <f aca="false">IF(OR(U105="",V105="",N(V105)=0),"",ABS(U105-R105)/V105)</f>
        <v/>
      </c>
      <c r="X105" s="31"/>
      <c r="Y105" s="29"/>
      <c r="Z105" s="32"/>
      <c r="AA105" s="33" t="str">
        <f aca="false">IF(Y105="","",IF(Y105="Stop",-1,IF(Y105="BE",0,IF(Y105="TP1 + BE",Paramètres!$B$7*Paramètres!$B$6,IF(Y105="TP1 (100 %)",Paramètres!$B$6,IF(Y105="TP2",Paramètres!$B$7*Paramètres!$B$6+(1-Paramètres!$B$7)*N(W105),IF(Y105="Sortie manuelle",N(Z105),"")))))))</f>
        <v/>
      </c>
      <c r="AB105" s="34" t="str">
        <f aca="false">IF(AA105="","",AA105*IF(X105="",Paramètres!$B$5,X105))</f>
        <v/>
      </c>
      <c r="AC105" s="35" t="str">
        <f aca="false">IF(AB105="","",Paramètres!$B$4*(1+SUM(AB$5:AB105)))</f>
        <v/>
      </c>
      <c r="AD105" s="29"/>
      <c r="AE105" s="29"/>
      <c r="AF105" s="29"/>
      <c r="AG105" s="36"/>
      <c r="AH105" s="36"/>
      <c r="AI105" s="33" t="str">
        <f aca="false">IF(AA105="","",SUM(AA$5:AA105))</f>
        <v/>
      </c>
      <c r="AJ105" s="33" t="str">
        <f aca="false">IF(AI105="","",MAX(AI105,MAX(AJ$5:AJ104),0))</f>
        <v/>
      </c>
      <c r="AK105" s="33" t="str">
        <f aca="false">IF(AI105="","",AI105-AJ105)</f>
        <v/>
      </c>
      <c r="AL105" s="25" t="str">
        <f aca="false">IF(AA105="","",IF(AA105&lt;0,N(AL104)+1,0))</f>
        <v/>
      </c>
      <c r="AM105" s="37" t="str">
        <f aca="false">IF(B105="","",B105-WEEKDAY(B105,2)+1)</f>
        <v/>
      </c>
    </row>
    <row r="106" customFormat="false" ht="15" hidden="false" customHeight="false" outlineLevel="0" collapsed="false">
      <c r="A106" s="25" t="str">
        <f aca="false">IF(B106="","",ROW()-4)</f>
        <v/>
      </c>
      <c r="B106" s="26"/>
      <c r="C106" s="27" t="str">
        <f aca="false">IF(B106="","",CHOOSE(WEEKDAY(B106,2),"Lundi","Mardi","Mercredi","Jeudi","Vendredi","Samedi","Dimanche"))</f>
        <v/>
      </c>
      <c r="D106" s="28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5" t="str">
        <f aca="false">IF(B106="","",OR(AND(H106="Achat",I106="Haussier"),AND(H106="Vente",I106="Baissier"))*1+OR(AND(H106="Achat",J106="Discount"),AND(H106="Vente",J106="Premium"))*1+AND(K106&lt;&gt;"",K106&lt;&gt;"Aucune")*1+OR(L106="CHoCH",L106="BOS")*1+(M106="Oui")*1+OR(G106="Londres",G106="New York")*1+(O106="Non")*1)</f>
        <v/>
      </c>
      <c r="Q106" s="27" t="str">
        <f aca="false">IF(P106="","",IF(P106=7,"A+",IF(P106&gt;=5,"B","C")))</f>
        <v/>
      </c>
      <c r="R106" s="29"/>
      <c r="S106" s="29"/>
      <c r="T106" s="27" t="str">
        <f aca="false">IF(OR(R106="",S106=""),"",R106+(R106-S106)*Paramètres!$B$6)</f>
        <v/>
      </c>
      <c r="U106" s="29"/>
      <c r="V106" s="27" t="str">
        <f aca="false">IF(OR(R106="",S106=""),"",ABS(R106-S106))</f>
        <v/>
      </c>
      <c r="W106" s="30" t="str">
        <f aca="false">IF(OR(U106="",V106="",N(V106)=0),"",ABS(U106-R106)/V106)</f>
        <v/>
      </c>
      <c r="X106" s="31"/>
      <c r="Y106" s="29"/>
      <c r="Z106" s="32"/>
      <c r="AA106" s="33" t="str">
        <f aca="false">IF(Y106="","",IF(Y106="Stop",-1,IF(Y106="BE",0,IF(Y106="TP1 + BE",Paramètres!$B$7*Paramètres!$B$6,IF(Y106="TP1 (100 %)",Paramètres!$B$6,IF(Y106="TP2",Paramètres!$B$7*Paramètres!$B$6+(1-Paramètres!$B$7)*N(W106),IF(Y106="Sortie manuelle",N(Z106),"")))))))</f>
        <v/>
      </c>
      <c r="AB106" s="34" t="str">
        <f aca="false">IF(AA106="","",AA106*IF(X106="",Paramètres!$B$5,X106))</f>
        <v/>
      </c>
      <c r="AC106" s="35" t="str">
        <f aca="false">IF(AB106="","",Paramètres!$B$4*(1+SUM(AB$5:AB106)))</f>
        <v/>
      </c>
      <c r="AD106" s="29"/>
      <c r="AE106" s="29"/>
      <c r="AF106" s="29"/>
      <c r="AG106" s="36"/>
      <c r="AH106" s="36"/>
      <c r="AI106" s="33" t="str">
        <f aca="false">IF(AA106="","",SUM(AA$5:AA106))</f>
        <v/>
      </c>
      <c r="AJ106" s="33" t="str">
        <f aca="false">IF(AI106="","",MAX(AI106,MAX(AJ$5:AJ105),0))</f>
        <v/>
      </c>
      <c r="AK106" s="33" t="str">
        <f aca="false">IF(AI106="","",AI106-AJ106)</f>
        <v/>
      </c>
      <c r="AL106" s="25" t="str">
        <f aca="false">IF(AA106="","",IF(AA106&lt;0,N(AL105)+1,0))</f>
        <v/>
      </c>
      <c r="AM106" s="37" t="str">
        <f aca="false">IF(B106="","",B106-WEEKDAY(B106,2)+1)</f>
        <v/>
      </c>
    </row>
    <row r="107" customFormat="false" ht="15" hidden="false" customHeight="false" outlineLevel="0" collapsed="false">
      <c r="A107" s="25" t="str">
        <f aca="false">IF(B107="","",ROW()-4)</f>
        <v/>
      </c>
      <c r="B107" s="26"/>
      <c r="C107" s="27" t="str">
        <f aca="false">IF(B107="","",CHOOSE(WEEKDAY(B107,2),"Lundi","Mardi","Mercredi","Jeudi","Vendredi","Samedi","Dimanche"))</f>
        <v/>
      </c>
      <c r="D107" s="28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5" t="str">
        <f aca="false">IF(B107="","",OR(AND(H107="Achat",I107="Haussier"),AND(H107="Vente",I107="Baissier"))*1+OR(AND(H107="Achat",J107="Discount"),AND(H107="Vente",J107="Premium"))*1+AND(K107&lt;&gt;"",K107&lt;&gt;"Aucune")*1+OR(L107="CHoCH",L107="BOS")*1+(M107="Oui")*1+OR(G107="Londres",G107="New York")*1+(O107="Non")*1)</f>
        <v/>
      </c>
      <c r="Q107" s="27" t="str">
        <f aca="false">IF(P107="","",IF(P107=7,"A+",IF(P107&gt;=5,"B","C")))</f>
        <v/>
      </c>
      <c r="R107" s="29"/>
      <c r="S107" s="29"/>
      <c r="T107" s="27" t="str">
        <f aca="false">IF(OR(R107="",S107=""),"",R107+(R107-S107)*Paramètres!$B$6)</f>
        <v/>
      </c>
      <c r="U107" s="29"/>
      <c r="V107" s="27" t="str">
        <f aca="false">IF(OR(R107="",S107=""),"",ABS(R107-S107))</f>
        <v/>
      </c>
      <c r="W107" s="30" t="str">
        <f aca="false">IF(OR(U107="",V107="",N(V107)=0),"",ABS(U107-R107)/V107)</f>
        <v/>
      </c>
      <c r="X107" s="31"/>
      <c r="Y107" s="29"/>
      <c r="Z107" s="32"/>
      <c r="AA107" s="33" t="str">
        <f aca="false">IF(Y107="","",IF(Y107="Stop",-1,IF(Y107="BE",0,IF(Y107="TP1 + BE",Paramètres!$B$7*Paramètres!$B$6,IF(Y107="TP1 (100 %)",Paramètres!$B$6,IF(Y107="TP2",Paramètres!$B$7*Paramètres!$B$6+(1-Paramètres!$B$7)*N(W107),IF(Y107="Sortie manuelle",N(Z107),"")))))))</f>
        <v/>
      </c>
      <c r="AB107" s="34" t="str">
        <f aca="false">IF(AA107="","",AA107*IF(X107="",Paramètres!$B$5,X107))</f>
        <v/>
      </c>
      <c r="AC107" s="35" t="str">
        <f aca="false">IF(AB107="","",Paramètres!$B$4*(1+SUM(AB$5:AB107)))</f>
        <v/>
      </c>
      <c r="AD107" s="29"/>
      <c r="AE107" s="29"/>
      <c r="AF107" s="29"/>
      <c r="AG107" s="36"/>
      <c r="AH107" s="36"/>
      <c r="AI107" s="33" t="str">
        <f aca="false">IF(AA107="","",SUM(AA$5:AA107))</f>
        <v/>
      </c>
      <c r="AJ107" s="33" t="str">
        <f aca="false">IF(AI107="","",MAX(AI107,MAX(AJ$5:AJ106),0))</f>
        <v/>
      </c>
      <c r="AK107" s="33" t="str">
        <f aca="false">IF(AI107="","",AI107-AJ107)</f>
        <v/>
      </c>
      <c r="AL107" s="25" t="str">
        <f aca="false">IF(AA107="","",IF(AA107&lt;0,N(AL106)+1,0))</f>
        <v/>
      </c>
      <c r="AM107" s="37" t="str">
        <f aca="false">IF(B107="","",B107-WEEKDAY(B107,2)+1)</f>
        <v/>
      </c>
    </row>
    <row r="108" customFormat="false" ht="15" hidden="false" customHeight="false" outlineLevel="0" collapsed="false">
      <c r="A108" s="25" t="str">
        <f aca="false">IF(B108="","",ROW()-4)</f>
        <v/>
      </c>
      <c r="B108" s="26"/>
      <c r="C108" s="27" t="str">
        <f aca="false">IF(B108="","",CHOOSE(WEEKDAY(B108,2),"Lundi","Mardi","Mercredi","Jeudi","Vendredi","Samedi","Dimanche"))</f>
        <v/>
      </c>
      <c r="D108" s="28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5" t="str">
        <f aca="false">IF(B108="","",OR(AND(H108="Achat",I108="Haussier"),AND(H108="Vente",I108="Baissier"))*1+OR(AND(H108="Achat",J108="Discount"),AND(H108="Vente",J108="Premium"))*1+AND(K108&lt;&gt;"",K108&lt;&gt;"Aucune")*1+OR(L108="CHoCH",L108="BOS")*1+(M108="Oui")*1+OR(G108="Londres",G108="New York")*1+(O108="Non")*1)</f>
        <v/>
      </c>
      <c r="Q108" s="27" t="str">
        <f aca="false">IF(P108="","",IF(P108=7,"A+",IF(P108&gt;=5,"B","C")))</f>
        <v/>
      </c>
      <c r="R108" s="29"/>
      <c r="S108" s="29"/>
      <c r="T108" s="27" t="str">
        <f aca="false">IF(OR(R108="",S108=""),"",R108+(R108-S108)*Paramètres!$B$6)</f>
        <v/>
      </c>
      <c r="U108" s="29"/>
      <c r="V108" s="27" t="str">
        <f aca="false">IF(OR(R108="",S108=""),"",ABS(R108-S108))</f>
        <v/>
      </c>
      <c r="W108" s="30" t="str">
        <f aca="false">IF(OR(U108="",V108="",N(V108)=0),"",ABS(U108-R108)/V108)</f>
        <v/>
      </c>
      <c r="X108" s="31"/>
      <c r="Y108" s="29"/>
      <c r="Z108" s="32"/>
      <c r="AA108" s="33" t="str">
        <f aca="false">IF(Y108="","",IF(Y108="Stop",-1,IF(Y108="BE",0,IF(Y108="TP1 + BE",Paramètres!$B$7*Paramètres!$B$6,IF(Y108="TP1 (100 %)",Paramètres!$B$6,IF(Y108="TP2",Paramètres!$B$7*Paramètres!$B$6+(1-Paramètres!$B$7)*N(W108),IF(Y108="Sortie manuelle",N(Z108),"")))))))</f>
        <v/>
      </c>
      <c r="AB108" s="34" t="str">
        <f aca="false">IF(AA108="","",AA108*IF(X108="",Paramètres!$B$5,X108))</f>
        <v/>
      </c>
      <c r="AC108" s="35" t="str">
        <f aca="false">IF(AB108="","",Paramètres!$B$4*(1+SUM(AB$5:AB108)))</f>
        <v/>
      </c>
      <c r="AD108" s="29"/>
      <c r="AE108" s="29"/>
      <c r="AF108" s="29"/>
      <c r="AG108" s="36"/>
      <c r="AH108" s="36"/>
      <c r="AI108" s="33" t="str">
        <f aca="false">IF(AA108="","",SUM(AA$5:AA108))</f>
        <v/>
      </c>
      <c r="AJ108" s="33" t="str">
        <f aca="false">IF(AI108="","",MAX(AI108,MAX(AJ$5:AJ107),0))</f>
        <v/>
      </c>
      <c r="AK108" s="33" t="str">
        <f aca="false">IF(AI108="","",AI108-AJ108)</f>
        <v/>
      </c>
      <c r="AL108" s="25" t="str">
        <f aca="false">IF(AA108="","",IF(AA108&lt;0,N(AL107)+1,0))</f>
        <v/>
      </c>
      <c r="AM108" s="37" t="str">
        <f aca="false">IF(B108="","",B108-WEEKDAY(B108,2)+1)</f>
        <v/>
      </c>
    </row>
    <row r="109" customFormat="false" ht="15" hidden="false" customHeight="false" outlineLevel="0" collapsed="false">
      <c r="A109" s="25" t="str">
        <f aca="false">IF(B109="","",ROW()-4)</f>
        <v/>
      </c>
      <c r="B109" s="26"/>
      <c r="C109" s="27" t="str">
        <f aca="false">IF(B109="","",CHOOSE(WEEKDAY(B109,2),"Lundi","Mardi","Mercredi","Jeudi","Vendredi","Samedi","Dimanche"))</f>
        <v/>
      </c>
      <c r="D109" s="28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5" t="str">
        <f aca="false">IF(B109="","",OR(AND(H109="Achat",I109="Haussier"),AND(H109="Vente",I109="Baissier"))*1+OR(AND(H109="Achat",J109="Discount"),AND(H109="Vente",J109="Premium"))*1+AND(K109&lt;&gt;"",K109&lt;&gt;"Aucune")*1+OR(L109="CHoCH",L109="BOS")*1+(M109="Oui")*1+OR(G109="Londres",G109="New York")*1+(O109="Non")*1)</f>
        <v/>
      </c>
      <c r="Q109" s="27" t="str">
        <f aca="false">IF(P109="","",IF(P109=7,"A+",IF(P109&gt;=5,"B","C")))</f>
        <v/>
      </c>
      <c r="R109" s="29"/>
      <c r="S109" s="29"/>
      <c r="T109" s="27" t="str">
        <f aca="false">IF(OR(R109="",S109=""),"",R109+(R109-S109)*Paramètres!$B$6)</f>
        <v/>
      </c>
      <c r="U109" s="29"/>
      <c r="V109" s="27" t="str">
        <f aca="false">IF(OR(R109="",S109=""),"",ABS(R109-S109))</f>
        <v/>
      </c>
      <c r="W109" s="30" t="str">
        <f aca="false">IF(OR(U109="",V109="",N(V109)=0),"",ABS(U109-R109)/V109)</f>
        <v/>
      </c>
      <c r="X109" s="31"/>
      <c r="Y109" s="29"/>
      <c r="Z109" s="32"/>
      <c r="AA109" s="33" t="str">
        <f aca="false">IF(Y109="","",IF(Y109="Stop",-1,IF(Y109="BE",0,IF(Y109="TP1 + BE",Paramètres!$B$7*Paramètres!$B$6,IF(Y109="TP1 (100 %)",Paramètres!$B$6,IF(Y109="TP2",Paramètres!$B$7*Paramètres!$B$6+(1-Paramètres!$B$7)*N(W109),IF(Y109="Sortie manuelle",N(Z109),"")))))))</f>
        <v/>
      </c>
      <c r="AB109" s="34" t="str">
        <f aca="false">IF(AA109="","",AA109*IF(X109="",Paramètres!$B$5,X109))</f>
        <v/>
      </c>
      <c r="AC109" s="35" t="str">
        <f aca="false">IF(AB109="","",Paramètres!$B$4*(1+SUM(AB$5:AB109)))</f>
        <v/>
      </c>
      <c r="AD109" s="29"/>
      <c r="AE109" s="29"/>
      <c r="AF109" s="29"/>
      <c r="AG109" s="36"/>
      <c r="AH109" s="36"/>
      <c r="AI109" s="33" t="str">
        <f aca="false">IF(AA109="","",SUM(AA$5:AA109))</f>
        <v/>
      </c>
      <c r="AJ109" s="33" t="str">
        <f aca="false">IF(AI109="","",MAX(AI109,MAX(AJ$5:AJ108),0))</f>
        <v/>
      </c>
      <c r="AK109" s="33" t="str">
        <f aca="false">IF(AI109="","",AI109-AJ109)</f>
        <v/>
      </c>
      <c r="AL109" s="25" t="str">
        <f aca="false">IF(AA109="","",IF(AA109&lt;0,N(AL108)+1,0))</f>
        <v/>
      </c>
      <c r="AM109" s="37" t="str">
        <f aca="false">IF(B109="","",B109-WEEKDAY(B109,2)+1)</f>
        <v/>
      </c>
    </row>
    <row r="110" customFormat="false" ht="15" hidden="false" customHeight="false" outlineLevel="0" collapsed="false">
      <c r="A110" s="25" t="str">
        <f aca="false">IF(B110="","",ROW()-4)</f>
        <v/>
      </c>
      <c r="B110" s="26"/>
      <c r="C110" s="27" t="str">
        <f aca="false">IF(B110="","",CHOOSE(WEEKDAY(B110,2),"Lundi","Mardi","Mercredi","Jeudi","Vendredi","Samedi","Dimanche"))</f>
        <v/>
      </c>
      <c r="D110" s="28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5" t="str">
        <f aca="false">IF(B110="","",OR(AND(H110="Achat",I110="Haussier"),AND(H110="Vente",I110="Baissier"))*1+OR(AND(H110="Achat",J110="Discount"),AND(H110="Vente",J110="Premium"))*1+AND(K110&lt;&gt;"",K110&lt;&gt;"Aucune")*1+OR(L110="CHoCH",L110="BOS")*1+(M110="Oui")*1+OR(G110="Londres",G110="New York")*1+(O110="Non")*1)</f>
        <v/>
      </c>
      <c r="Q110" s="27" t="str">
        <f aca="false">IF(P110="","",IF(P110=7,"A+",IF(P110&gt;=5,"B","C")))</f>
        <v/>
      </c>
      <c r="R110" s="29"/>
      <c r="S110" s="29"/>
      <c r="T110" s="27" t="str">
        <f aca="false">IF(OR(R110="",S110=""),"",R110+(R110-S110)*Paramètres!$B$6)</f>
        <v/>
      </c>
      <c r="U110" s="29"/>
      <c r="V110" s="27" t="str">
        <f aca="false">IF(OR(R110="",S110=""),"",ABS(R110-S110))</f>
        <v/>
      </c>
      <c r="W110" s="30" t="str">
        <f aca="false">IF(OR(U110="",V110="",N(V110)=0),"",ABS(U110-R110)/V110)</f>
        <v/>
      </c>
      <c r="X110" s="31"/>
      <c r="Y110" s="29"/>
      <c r="Z110" s="32"/>
      <c r="AA110" s="33" t="str">
        <f aca="false">IF(Y110="","",IF(Y110="Stop",-1,IF(Y110="BE",0,IF(Y110="TP1 + BE",Paramètres!$B$7*Paramètres!$B$6,IF(Y110="TP1 (100 %)",Paramètres!$B$6,IF(Y110="TP2",Paramètres!$B$7*Paramètres!$B$6+(1-Paramètres!$B$7)*N(W110),IF(Y110="Sortie manuelle",N(Z110),"")))))))</f>
        <v/>
      </c>
      <c r="AB110" s="34" t="str">
        <f aca="false">IF(AA110="","",AA110*IF(X110="",Paramètres!$B$5,X110))</f>
        <v/>
      </c>
      <c r="AC110" s="35" t="str">
        <f aca="false">IF(AB110="","",Paramètres!$B$4*(1+SUM(AB$5:AB110)))</f>
        <v/>
      </c>
      <c r="AD110" s="29"/>
      <c r="AE110" s="29"/>
      <c r="AF110" s="29"/>
      <c r="AG110" s="36"/>
      <c r="AH110" s="36"/>
      <c r="AI110" s="33" t="str">
        <f aca="false">IF(AA110="","",SUM(AA$5:AA110))</f>
        <v/>
      </c>
      <c r="AJ110" s="33" t="str">
        <f aca="false">IF(AI110="","",MAX(AI110,MAX(AJ$5:AJ109),0))</f>
        <v/>
      </c>
      <c r="AK110" s="33" t="str">
        <f aca="false">IF(AI110="","",AI110-AJ110)</f>
        <v/>
      </c>
      <c r="AL110" s="25" t="str">
        <f aca="false">IF(AA110="","",IF(AA110&lt;0,N(AL109)+1,0))</f>
        <v/>
      </c>
      <c r="AM110" s="37" t="str">
        <f aca="false">IF(B110="","",B110-WEEKDAY(B110,2)+1)</f>
        <v/>
      </c>
    </row>
    <row r="111" customFormat="false" ht="15" hidden="false" customHeight="false" outlineLevel="0" collapsed="false">
      <c r="A111" s="25" t="str">
        <f aca="false">IF(B111="","",ROW()-4)</f>
        <v/>
      </c>
      <c r="B111" s="26"/>
      <c r="C111" s="27" t="str">
        <f aca="false">IF(B111="","",CHOOSE(WEEKDAY(B111,2),"Lundi","Mardi","Mercredi","Jeudi","Vendredi","Samedi","Dimanche"))</f>
        <v/>
      </c>
      <c r="D111" s="28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5" t="str">
        <f aca="false">IF(B111="","",OR(AND(H111="Achat",I111="Haussier"),AND(H111="Vente",I111="Baissier"))*1+OR(AND(H111="Achat",J111="Discount"),AND(H111="Vente",J111="Premium"))*1+AND(K111&lt;&gt;"",K111&lt;&gt;"Aucune")*1+OR(L111="CHoCH",L111="BOS")*1+(M111="Oui")*1+OR(G111="Londres",G111="New York")*1+(O111="Non")*1)</f>
        <v/>
      </c>
      <c r="Q111" s="27" t="str">
        <f aca="false">IF(P111="","",IF(P111=7,"A+",IF(P111&gt;=5,"B","C")))</f>
        <v/>
      </c>
      <c r="R111" s="29"/>
      <c r="S111" s="29"/>
      <c r="T111" s="27" t="str">
        <f aca="false">IF(OR(R111="",S111=""),"",R111+(R111-S111)*Paramètres!$B$6)</f>
        <v/>
      </c>
      <c r="U111" s="29"/>
      <c r="V111" s="27" t="str">
        <f aca="false">IF(OR(R111="",S111=""),"",ABS(R111-S111))</f>
        <v/>
      </c>
      <c r="W111" s="30" t="str">
        <f aca="false">IF(OR(U111="",V111="",N(V111)=0),"",ABS(U111-R111)/V111)</f>
        <v/>
      </c>
      <c r="X111" s="31"/>
      <c r="Y111" s="29"/>
      <c r="Z111" s="32"/>
      <c r="AA111" s="33" t="str">
        <f aca="false">IF(Y111="","",IF(Y111="Stop",-1,IF(Y111="BE",0,IF(Y111="TP1 + BE",Paramètres!$B$7*Paramètres!$B$6,IF(Y111="TP1 (100 %)",Paramètres!$B$6,IF(Y111="TP2",Paramètres!$B$7*Paramètres!$B$6+(1-Paramètres!$B$7)*N(W111),IF(Y111="Sortie manuelle",N(Z111),"")))))))</f>
        <v/>
      </c>
      <c r="AB111" s="34" t="str">
        <f aca="false">IF(AA111="","",AA111*IF(X111="",Paramètres!$B$5,X111))</f>
        <v/>
      </c>
      <c r="AC111" s="35" t="str">
        <f aca="false">IF(AB111="","",Paramètres!$B$4*(1+SUM(AB$5:AB111)))</f>
        <v/>
      </c>
      <c r="AD111" s="29"/>
      <c r="AE111" s="29"/>
      <c r="AF111" s="29"/>
      <c r="AG111" s="36"/>
      <c r="AH111" s="36"/>
      <c r="AI111" s="33" t="str">
        <f aca="false">IF(AA111="","",SUM(AA$5:AA111))</f>
        <v/>
      </c>
      <c r="AJ111" s="33" t="str">
        <f aca="false">IF(AI111="","",MAX(AI111,MAX(AJ$5:AJ110),0))</f>
        <v/>
      </c>
      <c r="AK111" s="33" t="str">
        <f aca="false">IF(AI111="","",AI111-AJ111)</f>
        <v/>
      </c>
      <c r="AL111" s="25" t="str">
        <f aca="false">IF(AA111="","",IF(AA111&lt;0,N(AL110)+1,0))</f>
        <v/>
      </c>
      <c r="AM111" s="37" t="str">
        <f aca="false">IF(B111="","",B111-WEEKDAY(B111,2)+1)</f>
        <v/>
      </c>
    </row>
    <row r="112" customFormat="false" ht="15" hidden="false" customHeight="false" outlineLevel="0" collapsed="false">
      <c r="A112" s="25" t="str">
        <f aca="false">IF(B112="","",ROW()-4)</f>
        <v/>
      </c>
      <c r="B112" s="26"/>
      <c r="C112" s="27" t="str">
        <f aca="false">IF(B112="","",CHOOSE(WEEKDAY(B112,2),"Lundi","Mardi","Mercredi","Jeudi","Vendredi","Samedi","Dimanche"))</f>
        <v/>
      </c>
      <c r="D112" s="28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5" t="str">
        <f aca="false">IF(B112="","",OR(AND(H112="Achat",I112="Haussier"),AND(H112="Vente",I112="Baissier"))*1+OR(AND(H112="Achat",J112="Discount"),AND(H112="Vente",J112="Premium"))*1+AND(K112&lt;&gt;"",K112&lt;&gt;"Aucune")*1+OR(L112="CHoCH",L112="BOS")*1+(M112="Oui")*1+OR(G112="Londres",G112="New York")*1+(O112="Non")*1)</f>
        <v/>
      </c>
      <c r="Q112" s="27" t="str">
        <f aca="false">IF(P112="","",IF(P112=7,"A+",IF(P112&gt;=5,"B","C")))</f>
        <v/>
      </c>
      <c r="R112" s="29"/>
      <c r="S112" s="29"/>
      <c r="T112" s="27" t="str">
        <f aca="false">IF(OR(R112="",S112=""),"",R112+(R112-S112)*Paramètres!$B$6)</f>
        <v/>
      </c>
      <c r="U112" s="29"/>
      <c r="V112" s="27" t="str">
        <f aca="false">IF(OR(R112="",S112=""),"",ABS(R112-S112))</f>
        <v/>
      </c>
      <c r="W112" s="30" t="str">
        <f aca="false">IF(OR(U112="",V112="",N(V112)=0),"",ABS(U112-R112)/V112)</f>
        <v/>
      </c>
      <c r="X112" s="31"/>
      <c r="Y112" s="29"/>
      <c r="Z112" s="32"/>
      <c r="AA112" s="33" t="str">
        <f aca="false">IF(Y112="","",IF(Y112="Stop",-1,IF(Y112="BE",0,IF(Y112="TP1 + BE",Paramètres!$B$7*Paramètres!$B$6,IF(Y112="TP1 (100 %)",Paramètres!$B$6,IF(Y112="TP2",Paramètres!$B$7*Paramètres!$B$6+(1-Paramètres!$B$7)*N(W112),IF(Y112="Sortie manuelle",N(Z112),"")))))))</f>
        <v/>
      </c>
      <c r="AB112" s="34" t="str">
        <f aca="false">IF(AA112="","",AA112*IF(X112="",Paramètres!$B$5,X112))</f>
        <v/>
      </c>
      <c r="AC112" s="35" t="str">
        <f aca="false">IF(AB112="","",Paramètres!$B$4*(1+SUM(AB$5:AB112)))</f>
        <v/>
      </c>
      <c r="AD112" s="29"/>
      <c r="AE112" s="29"/>
      <c r="AF112" s="29"/>
      <c r="AG112" s="36"/>
      <c r="AH112" s="36"/>
      <c r="AI112" s="33" t="str">
        <f aca="false">IF(AA112="","",SUM(AA$5:AA112))</f>
        <v/>
      </c>
      <c r="AJ112" s="33" t="str">
        <f aca="false">IF(AI112="","",MAX(AI112,MAX(AJ$5:AJ111),0))</f>
        <v/>
      </c>
      <c r="AK112" s="33" t="str">
        <f aca="false">IF(AI112="","",AI112-AJ112)</f>
        <v/>
      </c>
      <c r="AL112" s="25" t="str">
        <f aca="false">IF(AA112="","",IF(AA112&lt;0,N(AL111)+1,0))</f>
        <v/>
      </c>
      <c r="AM112" s="37" t="str">
        <f aca="false">IF(B112="","",B112-WEEKDAY(B112,2)+1)</f>
        <v/>
      </c>
    </row>
    <row r="113" customFormat="false" ht="15" hidden="false" customHeight="false" outlineLevel="0" collapsed="false">
      <c r="A113" s="25" t="str">
        <f aca="false">IF(B113="","",ROW()-4)</f>
        <v/>
      </c>
      <c r="B113" s="26"/>
      <c r="C113" s="27" t="str">
        <f aca="false">IF(B113="","",CHOOSE(WEEKDAY(B113,2),"Lundi","Mardi","Mercredi","Jeudi","Vendredi","Samedi","Dimanche"))</f>
        <v/>
      </c>
      <c r="D113" s="28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5" t="str">
        <f aca="false">IF(B113="","",OR(AND(H113="Achat",I113="Haussier"),AND(H113="Vente",I113="Baissier"))*1+OR(AND(H113="Achat",J113="Discount"),AND(H113="Vente",J113="Premium"))*1+AND(K113&lt;&gt;"",K113&lt;&gt;"Aucune")*1+OR(L113="CHoCH",L113="BOS")*1+(M113="Oui")*1+OR(G113="Londres",G113="New York")*1+(O113="Non")*1)</f>
        <v/>
      </c>
      <c r="Q113" s="27" t="str">
        <f aca="false">IF(P113="","",IF(P113=7,"A+",IF(P113&gt;=5,"B","C")))</f>
        <v/>
      </c>
      <c r="R113" s="29"/>
      <c r="S113" s="29"/>
      <c r="T113" s="27" t="str">
        <f aca="false">IF(OR(R113="",S113=""),"",R113+(R113-S113)*Paramètres!$B$6)</f>
        <v/>
      </c>
      <c r="U113" s="29"/>
      <c r="V113" s="27" t="str">
        <f aca="false">IF(OR(R113="",S113=""),"",ABS(R113-S113))</f>
        <v/>
      </c>
      <c r="W113" s="30" t="str">
        <f aca="false">IF(OR(U113="",V113="",N(V113)=0),"",ABS(U113-R113)/V113)</f>
        <v/>
      </c>
      <c r="X113" s="31"/>
      <c r="Y113" s="29"/>
      <c r="Z113" s="32"/>
      <c r="AA113" s="33" t="str">
        <f aca="false">IF(Y113="","",IF(Y113="Stop",-1,IF(Y113="BE",0,IF(Y113="TP1 + BE",Paramètres!$B$7*Paramètres!$B$6,IF(Y113="TP1 (100 %)",Paramètres!$B$6,IF(Y113="TP2",Paramètres!$B$7*Paramètres!$B$6+(1-Paramètres!$B$7)*N(W113),IF(Y113="Sortie manuelle",N(Z113),"")))))))</f>
        <v/>
      </c>
      <c r="AB113" s="34" t="str">
        <f aca="false">IF(AA113="","",AA113*IF(X113="",Paramètres!$B$5,X113))</f>
        <v/>
      </c>
      <c r="AC113" s="35" t="str">
        <f aca="false">IF(AB113="","",Paramètres!$B$4*(1+SUM(AB$5:AB113)))</f>
        <v/>
      </c>
      <c r="AD113" s="29"/>
      <c r="AE113" s="29"/>
      <c r="AF113" s="29"/>
      <c r="AG113" s="36"/>
      <c r="AH113" s="36"/>
      <c r="AI113" s="33" t="str">
        <f aca="false">IF(AA113="","",SUM(AA$5:AA113))</f>
        <v/>
      </c>
      <c r="AJ113" s="33" t="str">
        <f aca="false">IF(AI113="","",MAX(AI113,MAX(AJ$5:AJ112),0))</f>
        <v/>
      </c>
      <c r="AK113" s="33" t="str">
        <f aca="false">IF(AI113="","",AI113-AJ113)</f>
        <v/>
      </c>
      <c r="AL113" s="25" t="str">
        <f aca="false">IF(AA113="","",IF(AA113&lt;0,N(AL112)+1,0))</f>
        <v/>
      </c>
      <c r="AM113" s="37" t="str">
        <f aca="false">IF(B113="","",B113-WEEKDAY(B113,2)+1)</f>
        <v/>
      </c>
    </row>
    <row r="114" customFormat="false" ht="15" hidden="false" customHeight="false" outlineLevel="0" collapsed="false">
      <c r="A114" s="25" t="str">
        <f aca="false">IF(B114="","",ROW()-4)</f>
        <v/>
      </c>
      <c r="B114" s="26"/>
      <c r="C114" s="27" t="str">
        <f aca="false">IF(B114="","",CHOOSE(WEEKDAY(B114,2),"Lundi","Mardi","Mercredi","Jeudi","Vendredi","Samedi","Dimanche"))</f>
        <v/>
      </c>
      <c r="D114" s="28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5" t="str">
        <f aca="false">IF(B114="","",OR(AND(H114="Achat",I114="Haussier"),AND(H114="Vente",I114="Baissier"))*1+OR(AND(H114="Achat",J114="Discount"),AND(H114="Vente",J114="Premium"))*1+AND(K114&lt;&gt;"",K114&lt;&gt;"Aucune")*1+OR(L114="CHoCH",L114="BOS")*1+(M114="Oui")*1+OR(G114="Londres",G114="New York")*1+(O114="Non")*1)</f>
        <v/>
      </c>
      <c r="Q114" s="27" t="str">
        <f aca="false">IF(P114="","",IF(P114=7,"A+",IF(P114&gt;=5,"B","C")))</f>
        <v/>
      </c>
      <c r="R114" s="29"/>
      <c r="S114" s="29"/>
      <c r="T114" s="27" t="str">
        <f aca="false">IF(OR(R114="",S114=""),"",R114+(R114-S114)*Paramètres!$B$6)</f>
        <v/>
      </c>
      <c r="U114" s="29"/>
      <c r="V114" s="27" t="str">
        <f aca="false">IF(OR(R114="",S114=""),"",ABS(R114-S114))</f>
        <v/>
      </c>
      <c r="W114" s="30" t="str">
        <f aca="false">IF(OR(U114="",V114="",N(V114)=0),"",ABS(U114-R114)/V114)</f>
        <v/>
      </c>
      <c r="X114" s="31"/>
      <c r="Y114" s="29"/>
      <c r="Z114" s="32"/>
      <c r="AA114" s="33" t="str">
        <f aca="false">IF(Y114="","",IF(Y114="Stop",-1,IF(Y114="BE",0,IF(Y114="TP1 + BE",Paramètres!$B$7*Paramètres!$B$6,IF(Y114="TP1 (100 %)",Paramètres!$B$6,IF(Y114="TP2",Paramètres!$B$7*Paramètres!$B$6+(1-Paramètres!$B$7)*N(W114),IF(Y114="Sortie manuelle",N(Z114),"")))))))</f>
        <v/>
      </c>
      <c r="AB114" s="34" t="str">
        <f aca="false">IF(AA114="","",AA114*IF(X114="",Paramètres!$B$5,X114))</f>
        <v/>
      </c>
      <c r="AC114" s="35" t="str">
        <f aca="false">IF(AB114="","",Paramètres!$B$4*(1+SUM(AB$5:AB114)))</f>
        <v/>
      </c>
      <c r="AD114" s="29"/>
      <c r="AE114" s="29"/>
      <c r="AF114" s="29"/>
      <c r="AG114" s="36"/>
      <c r="AH114" s="36"/>
      <c r="AI114" s="33" t="str">
        <f aca="false">IF(AA114="","",SUM(AA$5:AA114))</f>
        <v/>
      </c>
      <c r="AJ114" s="33" t="str">
        <f aca="false">IF(AI114="","",MAX(AI114,MAX(AJ$5:AJ113),0))</f>
        <v/>
      </c>
      <c r="AK114" s="33" t="str">
        <f aca="false">IF(AI114="","",AI114-AJ114)</f>
        <v/>
      </c>
      <c r="AL114" s="25" t="str">
        <f aca="false">IF(AA114="","",IF(AA114&lt;0,N(AL113)+1,0))</f>
        <v/>
      </c>
      <c r="AM114" s="37" t="str">
        <f aca="false">IF(B114="","",B114-WEEKDAY(B114,2)+1)</f>
        <v/>
      </c>
    </row>
    <row r="115" customFormat="false" ht="15" hidden="false" customHeight="false" outlineLevel="0" collapsed="false">
      <c r="A115" s="25" t="str">
        <f aca="false">IF(B115="","",ROW()-4)</f>
        <v/>
      </c>
      <c r="B115" s="26"/>
      <c r="C115" s="27" t="str">
        <f aca="false">IF(B115="","",CHOOSE(WEEKDAY(B115,2),"Lundi","Mardi","Mercredi","Jeudi","Vendredi","Samedi","Dimanche"))</f>
        <v/>
      </c>
      <c r="D115" s="28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5" t="str">
        <f aca="false">IF(B115="","",OR(AND(H115="Achat",I115="Haussier"),AND(H115="Vente",I115="Baissier"))*1+OR(AND(H115="Achat",J115="Discount"),AND(H115="Vente",J115="Premium"))*1+AND(K115&lt;&gt;"",K115&lt;&gt;"Aucune")*1+OR(L115="CHoCH",L115="BOS")*1+(M115="Oui")*1+OR(G115="Londres",G115="New York")*1+(O115="Non")*1)</f>
        <v/>
      </c>
      <c r="Q115" s="27" t="str">
        <f aca="false">IF(P115="","",IF(P115=7,"A+",IF(P115&gt;=5,"B","C")))</f>
        <v/>
      </c>
      <c r="R115" s="29"/>
      <c r="S115" s="29"/>
      <c r="T115" s="27" t="str">
        <f aca="false">IF(OR(R115="",S115=""),"",R115+(R115-S115)*Paramètres!$B$6)</f>
        <v/>
      </c>
      <c r="U115" s="29"/>
      <c r="V115" s="27" t="str">
        <f aca="false">IF(OR(R115="",S115=""),"",ABS(R115-S115))</f>
        <v/>
      </c>
      <c r="W115" s="30" t="str">
        <f aca="false">IF(OR(U115="",V115="",N(V115)=0),"",ABS(U115-R115)/V115)</f>
        <v/>
      </c>
      <c r="X115" s="31"/>
      <c r="Y115" s="29"/>
      <c r="Z115" s="32"/>
      <c r="AA115" s="33" t="str">
        <f aca="false">IF(Y115="","",IF(Y115="Stop",-1,IF(Y115="BE",0,IF(Y115="TP1 + BE",Paramètres!$B$7*Paramètres!$B$6,IF(Y115="TP1 (100 %)",Paramètres!$B$6,IF(Y115="TP2",Paramètres!$B$7*Paramètres!$B$6+(1-Paramètres!$B$7)*N(W115),IF(Y115="Sortie manuelle",N(Z115),"")))))))</f>
        <v/>
      </c>
      <c r="AB115" s="34" t="str">
        <f aca="false">IF(AA115="","",AA115*IF(X115="",Paramètres!$B$5,X115))</f>
        <v/>
      </c>
      <c r="AC115" s="35" t="str">
        <f aca="false">IF(AB115="","",Paramètres!$B$4*(1+SUM(AB$5:AB115)))</f>
        <v/>
      </c>
      <c r="AD115" s="29"/>
      <c r="AE115" s="29"/>
      <c r="AF115" s="29"/>
      <c r="AG115" s="36"/>
      <c r="AH115" s="36"/>
      <c r="AI115" s="33" t="str">
        <f aca="false">IF(AA115="","",SUM(AA$5:AA115))</f>
        <v/>
      </c>
      <c r="AJ115" s="33" t="str">
        <f aca="false">IF(AI115="","",MAX(AI115,MAX(AJ$5:AJ114),0))</f>
        <v/>
      </c>
      <c r="AK115" s="33" t="str">
        <f aca="false">IF(AI115="","",AI115-AJ115)</f>
        <v/>
      </c>
      <c r="AL115" s="25" t="str">
        <f aca="false">IF(AA115="","",IF(AA115&lt;0,N(AL114)+1,0))</f>
        <v/>
      </c>
      <c r="AM115" s="37" t="str">
        <f aca="false">IF(B115="","",B115-WEEKDAY(B115,2)+1)</f>
        <v/>
      </c>
    </row>
    <row r="116" customFormat="false" ht="15" hidden="false" customHeight="false" outlineLevel="0" collapsed="false">
      <c r="A116" s="25" t="str">
        <f aca="false">IF(B116="","",ROW()-4)</f>
        <v/>
      </c>
      <c r="B116" s="26"/>
      <c r="C116" s="27" t="str">
        <f aca="false">IF(B116="","",CHOOSE(WEEKDAY(B116,2),"Lundi","Mardi","Mercredi","Jeudi","Vendredi","Samedi","Dimanche"))</f>
        <v/>
      </c>
      <c r="D116" s="28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5" t="str">
        <f aca="false">IF(B116="","",OR(AND(H116="Achat",I116="Haussier"),AND(H116="Vente",I116="Baissier"))*1+OR(AND(H116="Achat",J116="Discount"),AND(H116="Vente",J116="Premium"))*1+AND(K116&lt;&gt;"",K116&lt;&gt;"Aucune")*1+OR(L116="CHoCH",L116="BOS")*1+(M116="Oui")*1+OR(G116="Londres",G116="New York")*1+(O116="Non")*1)</f>
        <v/>
      </c>
      <c r="Q116" s="27" t="str">
        <f aca="false">IF(P116="","",IF(P116=7,"A+",IF(P116&gt;=5,"B","C")))</f>
        <v/>
      </c>
      <c r="R116" s="29"/>
      <c r="S116" s="29"/>
      <c r="T116" s="27" t="str">
        <f aca="false">IF(OR(R116="",S116=""),"",R116+(R116-S116)*Paramètres!$B$6)</f>
        <v/>
      </c>
      <c r="U116" s="29"/>
      <c r="V116" s="27" t="str">
        <f aca="false">IF(OR(R116="",S116=""),"",ABS(R116-S116))</f>
        <v/>
      </c>
      <c r="W116" s="30" t="str">
        <f aca="false">IF(OR(U116="",V116="",N(V116)=0),"",ABS(U116-R116)/V116)</f>
        <v/>
      </c>
      <c r="X116" s="31"/>
      <c r="Y116" s="29"/>
      <c r="Z116" s="32"/>
      <c r="AA116" s="33" t="str">
        <f aca="false">IF(Y116="","",IF(Y116="Stop",-1,IF(Y116="BE",0,IF(Y116="TP1 + BE",Paramètres!$B$7*Paramètres!$B$6,IF(Y116="TP1 (100 %)",Paramètres!$B$6,IF(Y116="TP2",Paramètres!$B$7*Paramètres!$B$6+(1-Paramètres!$B$7)*N(W116),IF(Y116="Sortie manuelle",N(Z116),"")))))))</f>
        <v/>
      </c>
      <c r="AB116" s="34" t="str">
        <f aca="false">IF(AA116="","",AA116*IF(X116="",Paramètres!$B$5,X116))</f>
        <v/>
      </c>
      <c r="AC116" s="35" t="str">
        <f aca="false">IF(AB116="","",Paramètres!$B$4*(1+SUM(AB$5:AB116)))</f>
        <v/>
      </c>
      <c r="AD116" s="29"/>
      <c r="AE116" s="29"/>
      <c r="AF116" s="29"/>
      <c r="AG116" s="36"/>
      <c r="AH116" s="36"/>
      <c r="AI116" s="33" t="str">
        <f aca="false">IF(AA116="","",SUM(AA$5:AA116))</f>
        <v/>
      </c>
      <c r="AJ116" s="33" t="str">
        <f aca="false">IF(AI116="","",MAX(AI116,MAX(AJ$5:AJ115),0))</f>
        <v/>
      </c>
      <c r="AK116" s="33" t="str">
        <f aca="false">IF(AI116="","",AI116-AJ116)</f>
        <v/>
      </c>
      <c r="AL116" s="25" t="str">
        <f aca="false">IF(AA116="","",IF(AA116&lt;0,N(AL115)+1,0))</f>
        <v/>
      </c>
      <c r="AM116" s="37" t="str">
        <f aca="false">IF(B116="","",B116-WEEKDAY(B116,2)+1)</f>
        <v/>
      </c>
    </row>
    <row r="117" customFormat="false" ht="15" hidden="false" customHeight="false" outlineLevel="0" collapsed="false">
      <c r="A117" s="25" t="str">
        <f aca="false">IF(B117="","",ROW()-4)</f>
        <v/>
      </c>
      <c r="B117" s="26"/>
      <c r="C117" s="27" t="str">
        <f aca="false">IF(B117="","",CHOOSE(WEEKDAY(B117,2),"Lundi","Mardi","Mercredi","Jeudi","Vendredi","Samedi","Dimanche"))</f>
        <v/>
      </c>
      <c r="D117" s="28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5" t="str">
        <f aca="false">IF(B117="","",OR(AND(H117="Achat",I117="Haussier"),AND(H117="Vente",I117="Baissier"))*1+OR(AND(H117="Achat",J117="Discount"),AND(H117="Vente",J117="Premium"))*1+AND(K117&lt;&gt;"",K117&lt;&gt;"Aucune")*1+OR(L117="CHoCH",L117="BOS")*1+(M117="Oui")*1+OR(G117="Londres",G117="New York")*1+(O117="Non")*1)</f>
        <v/>
      </c>
      <c r="Q117" s="27" t="str">
        <f aca="false">IF(P117="","",IF(P117=7,"A+",IF(P117&gt;=5,"B","C")))</f>
        <v/>
      </c>
      <c r="R117" s="29"/>
      <c r="S117" s="29"/>
      <c r="T117" s="27" t="str">
        <f aca="false">IF(OR(R117="",S117=""),"",R117+(R117-S117)*Paramètres!$B$6)</f>
        <v/>
      </c>
      <c r="U117" s="29"/>
      <c r="V117" s="27" t="str">
        <f aca="false">IF(OR(R117="",S117=""),"",ABS(R117-S117))</f>
        <v/>
      </c>
      <c r="W117" s="30" t="str">
        <f aca="false">IF(OR(U117="",V117="",N(V117)=0),"",ABS(U117-R117)/V117)</f>
        <v/>
      </c>
      <c r="X117" s="31"/>
      <c r="Y117" s="29"/>
      <c r="Z117" s="32"/>
      <c r="AA117" s="33" t="str">
        <f aca="false">IF(Y117="","",IF(Y117="Stop",-1,IF(Y117="BE",0,IF(Y117="TP1 + BE",Paramètres!$B$7*Paramètres!$B$6,IF(Y117="TP1 (100 %)",Paramètres!$B$6,IF(Y117="TP2",Paramètres!$B$7*Paramètres!$B$6+(1-Paramètres!$B$7)*N(W117),IF(Y117="Sortie manuelle",N(Z117),"")))))))</f>
        <v/>
      </c>
      <c r="AB117" s="34" t="str">
        <f aca="false">IF(AA117="","",AA117*IF(X117="",Paramètres!$B$5,X117))</f>
        <v/>
      </c>
      <c r="AC117" s="35" t="str">
        <f aca="false">IF(AB117="","",Paramètres!$B$4*(1+SUM(AB$5:AB117)))</f>
        <v/>
      </c>
      <c r="AD117" s="29"/>
      <c r="AE117" s="29"/>
      <c r="AF117" s="29"/>
      <c r="AG117" s="36"/>
      <c r="AH117" s="36"/>
      <c r="AI117" s="33" t="str">
        <f aca="false">IF(AA117="","",SUM(AA$5:AA117))</f>
        <v/>
      </c>
      <c r="AJ117" s="33" t="str">
        <f aca="false">IF(AI117="","",MAX(AI117,MAX(AJ$5:AJ116),0))</f>
        <v/>
      </c>
      <c r="AK117" s="33" t="str">
        <f aca="false">IF(AI117="","",AI117-AJ117)</f>
        <v/>
      </c>
      <c r="AL117" s="25" t="str">
        <f aca="false">IF(AA117="","",IF(AA117&lt;0,N(AL116)+1,0))</f>
        <v/>
      </c>
      <c r="AM117" s="37" t="str">
        <f aca="false">IF(B117="","",B117-WEEKDAY(B117,2)+1)</f>
        <v/>
      </c>
    </row>
    <row r="118" customFormat="false" ht="15" hidden="false" customHeight="false" outlineLevel="0" collapsed="false">
      <c r="A118" s="25" t="str">
        <f aca="false">IF(B118="","",ROW()-4)</f>
        <v/>
      </c>
      <c r="B118" s="26"/>
      <c r="C118" s="27" t="str">
        <f aca="false">IF(B118="","",CHOOSE(WEEKDAY(B118,2),"Lundi","Mardi","Mercredi","Jeudi","Vendredi","Samedi","Dimanche"))</f>
        <v/>
      </c>
      <c r="D118" s="28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5" t="str">
        <f aca="false">IF(B118="","",OR(AND(H118="Achat",I118="Haussier"),AND(H118="Vente",I118="Baissier"))*1+OR(AND(H118="Achat",J118="Discount"),AND(H118="Vente",J118="Premium"))*1+AND(K118&lt;&gt;"",K118&lt;&gt;"Aucune")*1+OR(L118="CHoCH",L118="BOS")*1+(M118="Oui")*1+OR(G118="Londres",G118="New York")*1+(O118="Non")*1)</f>
        <v/>
      </c>
      <c r="Q118" s="27" t="str">
        <f aca="false">IF(P118="","",IF(P118=7,"A+",IF(P118&gt;=5,"B","C")))</f>
        <v/>
      </c>
      <c r="R118" s="29"/>
      <c r="S118" s="29"/>
      <c r="T118" s="27" t="str">
        <f aca="false">IF(OR(R118="",S118=""),"",R118+(R118-S118)*Paramètres!$B$6)</f>
        <v/>
      </c>
      <c r="U118" s="29"/>
      <c r="V118" s="27" t="str">
        <f aca="false">IF(OR(R118="",S118=""),"",ABS(R118-S118))</f>
        <v/>
      </c>
      <c r="W118" s="30" t="str">
        <f aca="false">IF(OR(U118="",V118="",N(V118)=0),"",ABS(U118-R118)/V118)</f>
        <v/>
      </c>
      <c r="X118" s="31"/>
      <c r="Y118" s="29"/>
      <c r="Z118" s="32"/>
      <c r="AA118" s="33" t="str">
        <f aca="false">IF(Y118="","",IF(Y118="Stop",-1,IF(Y118="BE",0,IF(Y118="TP1 + BE",Paramètres!$B$7*Paramètres!$B$6,IF(Y118="TP1 (100 %)",Paramètres!$B$6,IF(Y118="TP2",Paramètres!$B$7*Paramètres!$B$6+(1-Paramètres!$B$7)*N(W118),IF(Y118="Sortie manuelle",N(Z118),"")))))))</f>
        <v/>
      </c>
      <c r="AB118" s="34" t="str">
        <f aca="false">IF(AA118="","",AA118*IF(X118="",Paramètres!$B$5,X118))</f>
        <v/>
      </c>
      <c r="AC118" s="35" t="str">
        <f aca="false">IF(AB118="","",Paramètres!$B$4*(1+SUM(AB$5:AB118)))</f>
        <v/>
      </c>
      <c r="AD118" s="29"/>
      <c r="AE118" s="29"/>
      <c r="AF118" s="29"/>
      <c r="AG118" s="36"/>
      <c r="AH118" s="36"/>
      <c r="AI118" s="33" t="str">
        <f aca="false">IF(AA118="","",SUM(AA$5:AA118))</f>
        <v/>
      </c>
      <c r="AJ118" s="33" t="str">
        <f aca="false">IF(AI118="","",MAX(AI118,MAX(AJ$5:AJ117),0))</f>
        <v/>
      </c>
      <c r="AK118" s="33" t="str">
        <f aca="false">IF(AI118="","",AI118-AJ118)</f>
        <v/>
      </c>
      <c r="AL118" s="25" t="str">
        <f aca="false">IF(AA118="","",IF(AA118&lt;0,N(AL117)+1,0))</f>
        <v/>
      </c>
      <c r="AM118" s="37" t="str">
        <f aca="false">IF(B118="","",B118-WEEKDAY(B118,2)+1)</f>
        <v/>
      </c>
    </row>
    <row r="119" customFormat="false" ht="15" hidden="false" customHeight="false" outlineLevel="0" collapsed="false">
      <c r="A119" s="25" t="str">
        <f aca="false">IF(B119="","",ROW()-4)</f>
        <v/>
      </c>
      <c r="B119" s="26"/>
      <c r="C119" s="27" t="str">
        <f aca="false">IF(B119="","",CHOOSE(WEEKDAY(B119,2),"Lundi","Mardi","Mercredi","Jeudi","Vendredi","Samedi","Dimanche"))</f>
        <v/>
      </c>
      <c r="D119" s="28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5" t="str">
        <f aca="false">IF(B119="","",OR(AND(H119="Achat",I119="Haussier"),AND(H119="Vente",I119="Baissier"))*1+OR(AND(H119="Achat",J119="Discount"),AND(H119="Vente",J119="Premium"))*1+AND(K119&lt;&gt;"",K119&lt;&gt;"Aucune")*1+OR(L119="CHoCH",L119="BOS")*1+(M119="Oui")*1+OR(G119="Londres",G119="New York")*1+(O119="Non")*1)</f>
        <v/>
      </c>
      <c r="Q119" s="27" t="str">
        <f aca="false">IF(P119="","",IF(P119=7,"A+",IF(P119&gt;=5,"B","C")))</f>
        <v/>
      </c>
      <c r="R119" s="29"/>
      <c r="S119" s="29"/>
      <c r="T119" s="27" t="str">
        <f aca="false">IF(OR(R119="",S119=""),"",R119+(R119-S119)*Paramètres!$B$6)</f>
        <v/>
      </c>
      <c r="U119" s="29"/>
      <c r="V119" s="27" t="str">
        <f aca="false">IF(OR(R119="",S119=""),"",ABS(R119-S119))</f>
        <v/>
      </c>
      <c r="W119" s="30" t="str">
        <f aca="false">IF(OR(U119="",V119="",N(V119)=0),"",ABS(U119-R119)/V119)</f>
        <v/>
      </c>
      <c r="X119" s="31"/>
      <c r="Y119" s="29"/>
      <c r="Z119" s="32"/>
      <c r="AA119" s="33" t="str">
        <f aca="false">IF(Y119="","",IF(Y119="Stop",-1,IF(Y119="BE",0,IF(Y119="TP1 + BE",Paramètres!$B$7*Paramètres!$B$6,IF(Y119="TP1 (100 %)",Paramètres!$B$6,IF(Y119="TP2",Paramètres!$B$7*Paramètres!$B$6+(1-Paramètres!$B$7)*N(W119),IF(Y119="Sortie manuelle",N(Z119),"")))))))</f>
        <v/>
      </c>
      <c r="AB119" s="34" t="str">
        <f aca="false">IF(AA119="","",AA119*IF(X119="",Paramètres!$B$5,X119))</f>
        <v/>
      </c>
      <c r="AC119" s="35" t="str">
        <f aca="false">IF(AB119="","",Paramètres!$B$4*(1+SUM(AB$5:AB119)))</f>
        <v/>
      </c>
      <c r="AD119" s="29"/>
      <c r="AE119" s="29"/>
      <c r="AF119" s="29"/>
      <c r="AG119" s="36"/>
      <c r="AH119" s="36"/>
      <c r="AI119" s="33" t="str">
        <f aca="false">IF(AA119="","",SUM(AA$5:AA119))</f>
        <v/>
      </c>
      <c r="AJ119" s="33" t="str">
        <f aca="false">IF(AI119="","",MAX(AI119,MAX(AJ$5:AJ118),0))</f>
        <v/>
      </c>
      <c r="AK119" s="33" t="str">
        <f aca="false">IF(AI119="","",AI119-AJ119)</f>
        <v/>
      </c>
      <c r="AL119" s="25" t="str">
        <f aca="false">IF(AA119="","",IF(AA119&lt;0,N(AL118)+1,0))</f>
        <v/>
      </c>
      <c r="AM119" s="37" t="str">
        <f aca="false">IF(B119="","",B119-WEEKDAY(B119,2)+1)</f>
        <v/>
      </c>
    </row>
    <row r="120" customFormat="false" ht="15" hidden="false" customHeight="false" outlineLevel="0" collapsed="false">
      <c r="A120" s="25" t="str">
        <f aca="false">IF(B120="","",ROW()-4)</f>
        <v/>
      </c>
      <c r="B120" s="26"/>
      <c r="C120" s="27" t="str">
        <f aca="false">IF(B120="","",CHOOSE(WEEKDAY(B120,2),"Lundi","Mardi","Mercredi","Jeudi","Vendredi","Samedi","Dimanche"))</f>
        <v/>
      </c>
      <c r="D120" s="28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5" t="str">
        <f aca="false">IF(B120="","",OR(AND(H120="Achat",I120="Haussier"),AND(H120="Vente",I120="Baissier"))*1+OR(AND(H120="Achat",J120="Discount"),AND(H120="Vente",J120="Premium"))*1+AND(K120&lt;&gt;"",K120&lt;&gt;"Aucune")*1+OR(L120="CHoCH",L120="BOS")*1+(M120="Oui")*1+OR(G120="Londres",G120="New York")*1+(O120="Non")*1)</f>
        <v/>
      </c>
      <c r="Q120" s="27" t="str">
        <f aca="false">IF(P120="","",IF(P120=7,"A+",IF(P120&gt;=5,"B","C")))</f>
        <v/>
      </c>
      <c r="R120" s="29"/>
      <c r="S120" s="29"/>
      <c r="T120" s="27" t="str">
        <f aca="false">IF(OR(R120="",S120=""),"",R120+(R120-S120)*Paramètres!$B$6)</f>
        <v/>
      </c>
      <c r="U120" s="29"/>
      <c r="V120" s="27" t="str">
        <f aca="false">IF(OR(R120="",S120=""),"",ABS(R120-S120))</f>
        <v/>
      </c>
      <c r="W120" s="30" t="str">
        <f aca="false">IF(OR(U120="",V120="",N(V120)=0),"",ABS(U120-R120)/V120)</f>
        <v/>
      </c>
      <c r="X120" s="31"/>
      <c r="Y120" s="29"/>
      <c r="Z120" s="32"/>
      <c r="AA120" s="33" t="str">
        <f aca="false">IF(Y120="","",IF(Y120="Stop",-1,IF(Y120="BE",0,IF(Y120="TP1 + BE",Paramètres!$B$7*Paramètres!$B$6,IF(Y120="TP1 (100 %)",Paramètres!$B$6,IF(Y120="TP2",Paramètres!$B$7*Paramètres!$B$6+(1-Paramètres!$B$7)*N(W120),IF(Y120="Sortie manuelle",N(Z120),"")))))))</f>
        <v/>
      </c>
      <c r="AB120" s="34" t="str">
        <f aca="false">IF(AA120="","",AA120*IF(X120="",Paramètres!$B$5,X120))</f>
        <v/>
      </c>
      <c r="AC120" s="35" t="str">
        <f aca="false">IF(AB120="","",Paramètres!$B$4*(1+SUM(AB$5:AB120)))</f>
        <v/>
      </c>
      <c r="AD120" s="29"/>
      <c r="AE120" s="29"/>
      <c r="AF120" s="29"/>
      <c r="AG120" s="36"/>
      <c r="AH120" s="36"/>
      <c r="AI120" s="33" t="str">
        <f aca="false">IF(AA120="","",SUM(AA$5:AA120))</f>
        <v/>
      </c>
      <c r="AJ120" s="33" t="str">
        <f aca="false">IF(AI120="","",MAX(AI120,MAX(AJ$5:AJ119),0))</f>
        <v/>
      </c>
      <c r="AK120" s="33" t="str">
        <f aca="false">IF(AI120="","",AI120-AJ120)</f>
        <v/>
      </c>
      <c r="AL120" s="25" t="str">
        <f aca="false">IF(AA120="","",IF(AA120&lt;0,N(AL119)+1,0))</f>
        <v/>
      </c>
      <c r="AM120" s="37" t="str">
        <f aca="false">IF(B120="","",B120-WEEKDAY(B120,2)+1)</f>
        <v/>
      </c>
    </row>
    <row r="121" customFormat="false" ht="15" hidden="false" customHeight="false" outlineLevel="0" collapsed="false">
      <c r="A121" s="25" t="str">
        <f aca="false">IF(B121="","",ROW()-4)</f>
        <v/>
      </c>
      <c r="B121" s="26"/>
      <c r="C121" s="27" t="str">
        <f aca="false">IF(B121="","",CHOOSE(WEEKDAY(B121,2),"Lundi","Mardi","Mercredi","Jeudi","Vendredi","Samedi","Dimanche"))</f>
        <v/>
      </c>
      <c r="D121" s="28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5" t="str">
        <f aca="false">IF(B121="","",OR(AND(H121="Achat",I121="Haussier"),AND(H121="Vente",I121="Baissier"))*1+OR(AND(H121="Achat",J121="Discount"),AND(H121="Vente",J121="Premium"))*1+AND(K121&lt;&gt;"",K121&lt;&gt;"Aucune")*1+OR(L121="CHoCH",L121="BOS")*1+(M121="Oui")*1+OR(G121="Londres",G121="New York")*1+(O121="Non")*1)</f>
        <v/>
      </c>
      <c r="Q121" s="27" t="str">
        <f aca="false">IF(P121="","",IF(P121=7,"A+",IF(P121&gt;=5,"B","C")))</f>
        <v/>
      </c>
      <c r="R121" s="29"/>
      <c r="S121" s="29"/>
      <c r="T121" s="27" t="str">
        <f aca="false">IF(OR(R121="",S121=""),"",R121+(R121-S121)*Paramètres!$B$6)</f>
        <v/>
      </c>
      <c r="U121" s="29"/>
      <c r="V121" s="27" t="str">
        <f aca="false">IF(OR(R121="",S121=""),"",ABS(R121-S121))</f>
        <v/>
      </c>
      <c r="W121" s="30" t="str">
        <f aca="false">IF(OR(U121="",V121="",N(V121)=0),"",ABS(U121-R121)/V121)</f>
        <v/>
      </c>
      <c r="X121" s="31"/>
      <c r="Y121" s="29"/>
      <c r="Z121" s="32"/>
      <c r="AA121" s="33" t="str">
        <f aca="false">IF(Y121="","",IF(Y121="Stop",-1,IF(Y121="BE",0,IF(Y121="TP1 + BE",Paramètres!$B$7*Paramètres!$B$6,IF(Y121="TP1 (100 %)",Paramètres!$B$6,IF(Y121="TP2",Paramètres!$B$7*Paramètres!$B$6+(1-Paramètres!$B$7)*N(W121),IF(Y121="Sortie manuelle",N(Z121),"")))))))</f>
        <v/>
      </c>
      <c r="AB121" s="34" t="str">
        <f aca="false">IF(AA121="","",AA121*IF(X121="",Paramètres!$B$5,X121))</f>
        <v/>
      </c>
      <c r="AC121" s="35" t="str">
        <f aca="false">IF(AB121="","",Paramètres!$B$4*(1+SUM(AB$5:AB121)))</f>
        <v/>
      </c>
      <c r="AD121" s="29"/>
      <c r="AE121" s="29"/>
      <c r="AF121" s="29"/>
      <c r="AG121" s="36"/>
      <c r="AH121" s="36"/>
      <c r="AI121" s="33" t="str">
        <f aca="false">IF(AA121="","",SUM(AA$5:AA121))</f>
        <v/>
      </c>
      <c r="AJ121" s="33" t="str">
        <f aca="false">IF(AI121="","",MAX(AI121,MAX(AJ$5:AJ120),0))</f>
        <v/>
      </c>
      <c r="AK121" s="33" t="str">
        <f aca="false">IF(AI121="","",AI121-AJ121)</f>
        <v/>
      </c>
      <c r="AL121" s="25" t="str">
        <f aca="false">IF(AA121="","",IF(AA121&lt;0,N(AL120)+1,0))</f>
        <v/>
      </c>
      <c r="AM121" s="37" t="str">
        <f aca="false">IF(B121="","",B121-WEEKDAY(B121,2)+1)</f>
        <v/>
      </c>
    </row>
    <row r="122" customFormat="false" ht="15" hidden="false" customHeight="false" outlineLevel="0" collapsed="false">
      <c r="A122" s="25" t="str">
        <f aca="false">IF(B122="","",ROW()-4)</f>
        <v/>
      </c>
      <c r="B122" s="26"/>
      <c r="C122" s="27" t="str">
        <f aca="false">IF(B122="","",CHOOSE(WEEKDAY(B122,2),"Lundi","Mardi","Mercredi","Jeudi","Vendredi","Samedi","Dimanche"))</f>
        <v/>
      </c>
      <c r="D122" s="28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5" t="str">
        <f aca="false">IF(B122="","",OR(AND(H122="Achat",I122="Haussier"),AND(H122="Vente",I122="Baissier"))*1+OR(AND(H122="Achat",J122="Discount"),AND(H122="Vente",J122="Premium"))*1+AND(K122&lt;&gt;"",K122&lt;&gt;"Aucune")*1+OR(L122="CHoCH",L122="BOS")*1+(M122="Oui")*1+OR(G122="Londres",G122="New York")*1+(O122="Non")*1)</f>
        <v/>
      </c>
      <c r="Q122" s="27" t="str">
        <f aca="false">IF(P122="","",IF(P122=7,"A+",IF(P122&gt;=5,"B","C")))</f>
        <v/>
      </c>
      <c r="R122" s="29"/>
      <c r="S122" s="29"/>
      <c r="T122" s="27" t="str">
        <f aca="false">IF(OR(R122="",S122=""),"",R122+(R122-S122)*Paramètres!$B$6)</f>
        <v/>
      </c>
      <c r="U122" s="29"/>
      <c r="V122" s="27" t="str">
        <f aca="false">IF(OR(R122="",S122=""),"",ABS(R122-S122))</f>
        <v/>
      </c>
      <c r="W122" s="30" t="str">
        <f aca="false">IF(OR(U122="",V122="",N(V122)=0),"",ABS(U122-R122)/V122)</f>
        <v/>
      </c>
      <c r="X122" s="31"/>
      <c r="Y122" s="29"/>
      <c r="Z122" s="32"/>
      <c r="AA122" s="33" t="str">
        <f aca="false">IF(Y122="","",IF(Y122="Stop",-1,IF(Y122="BE",0,IF(Y122="TP1 + BE",Paramètres!$B$7*Paramètres!$B$6,IF(Y122="TP1 (100 %)",Paramètres!$B$6,IF(Y122="TP2",Paramètres!$B$7*Paramètres!$B$6+(1-Paramètres!$B$7)*N(W122),IF(Y122="Sortie manuelle",N(Z122),"")))))))</f>
        <v/>
      </c>
      <c r="AB122" s="34" t="str">
        <f aca="false">IF(AA122="","",AA122*IF(X122="",Paramètres!$B$5,X122))</f>
        <v/>
      </c>
      <c r="AC122" s="35" t="str">
        <f aca="false">IF(AB122="","",Paramètres!$B$4*(1+SUM(AB$5:AB122)))</f>
        <v/>
      </c>
      <c r="AD122" s="29"/>
      <c r="AE122" s="29"/>
      <c r="AF122" s="29"/>
      <c r="AG122" s="36"/>
      <c r="AH122" s="36"/>
      <c r="AI122" s="33" t="str">
        <f aca="false">IF(AA122="","",SUM(AA$5:AA122))</f>
        <v/>
      </c>
      <c r="AJ122" s="33" t="str">
        <f aca="false">IF(AI122="","",MAX(AI122,MAX(AJ$5:AJ121),0))</f>
        <v/>
      </c>
      <c r="AK122" s="33" t="str">
        <f aca="false">IF(AI122="","",AI122-AJ122)</f>
        <v/>
      </c>
      <c r="AL122" s="25" t="str">
        <f aca="false">IF(AA122="","",IF(AA122&lt;0,N(AL121)+1,0))</f>
        <v/>
      </c>
      <c r="AM122" s="37" t="str">
        <f aca="false">IF(B122="","",B122-WEEKDAY(B122,2)+1)</f>
        <v/>
      </c>
    </row>
    <row r="123" customFormat="false" ht="15" hidden="false" customHeight="false" outlineLevel="0" collapsed="false">
      <c r="A123" s="25" t="str">
        <f aca="false">IF(B123="","",ROW()-4)</f>
        <v/>
      </c>
      <c r="B123" s="26"/>
      <c r="C123" s="27" t="str">
        <f aca="false">IF(B123="","",CHOOSE(WEEKDAY(B123,2),"Lundi","Mardi","Mercredi","Jeudi","Vendredi","Samedi","Dimanche"))</f>
        <v/>
      </c>
      <c r="D123" s="28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5" t="str">
        <f aca="false">IF(B123="","",OR(AND(H123="Achat",I123="Haussier"),AND(H123="Vente",I123="Baissier"))*1+OR(AND(H123="Achat",J123="Discount"),AND(H123="Vente",J123="Premium"))*1+AND(K123&lt;&gt;"",K123&lt;&gt;"Aucune")*1+OR(L123="CHoCH",L123="BOS")*1+(M123="Oui")*1+OR(G123="Londres",G123="New York")*1+(O123="Non")*1)</f>
        <v/>
      </c>
      <c r="Q123" s="27" t="str">
        <f aca="false">IF(P123="","",IF(P123=7,"A+",IF(P123&gt;=5,"B","C")))</f>
        <v/>
      </c>
      <c r="R123" s="29"/>
      <c r="S123" s="29"/>
      <c r="T123" s="27" t="str">
        <f aca="false">IF(OR(R123="",S123=""),"",R123+(R123-S123)*Paramètres!$B$6)</f>
        <v/>
      </c>
      <c r="U123" s="29"/>
      <c r="V123" s="27" t="str">
        <f aca="false">IF(OR(R123="",S123=""),"",ABS(R123-S123))</f>
        <v/>
      </c>
      <c r="W123" s="30" t="str">
        <f aca="false">IF(OR(U123="",V123="",N(V123)=0),"",ABS(U123-R123)/V123)</f>
        <v/>
      </c>
      <c r="X123" s="31"/>
      <c r="Y123" s="29"/>
      <c r="Z123" s="32"/>
      <c r="AA123" s="33" t="str">
        <f aca="false">IF(Y123="","",IF(Y123="Stop",-1,IF(Y123="BE",0,IF(Y123="TP1 + BE",Paramètres!$B$7*Paramètres!$B$6,IF(Y123="TP1 (100 %)",Paramètres!$B$6,IF(Y123="TP2",Paramètres!$B$7*Paramètres!$B$6+(1-Paramètres!$B$7)*N(W123),IF(Y123="Sortie manuelle",N(Z123),"")))))))</f>
        <v/>
      </c>
      <c r="AB123" s="34" t="str">
        <f aca="false">IF(AA123="","",AA123*IF(X123="",Paramètres!$B$5,X123))</f>
        <v/>
      </c>
      <c r="AC123" s="35" t="str">
        <f aca="false">IF(AB123="","",Paramètres!$B$4*(1+SUM(AB$5:AB123)))</f>
        <v/>
      </c>
      <c r="AD123" s="29"/>
      <c r="AE123" s="29"/>
      <c r="AF123" s="29"/>
      <c r="AG123" s="36"/>
      <c r="AH123" s="36"/>
      <c r="AI123" s="33" t="str">
        <f aca="false">IF(AA123="","",SUM(AA$5:AA123))</f>
        <v/>
      </c>
      <c r="AJ123" s="33" t="str">
        <f aca="false">IF(AI123="","",MAX(AI123,MAX(AJ$5:AJ122),0))</f>
        <v/>
      </c>
      <c r="AK123" s="33" t="str">
        <f aca="false">IF(AI123="","",AI123-AJ123)</f>
        <v/>
      </c>
      <c r="AL123" s="25" t="str">
        <f aca="false">IF(AA123="","",IF(AA123&lt;0,N(AL122)+1,0))</f>
        <v/>
      </c>
      <c r="AM123" s="37" t="str">
        <f aca="false">IF(B123="","",B123-WEEKDAY(B123,2)+1)</f>
        <v/>
      </c>
    </row>
    <row r="124" customFormat="false" ht="15" hidden="false" customHeight="false" outlineLevel="0" collapsed="false">
      <c r="A124" s="25" t="str">
        <f aca="false">IF(B124="","",ROW()-4)</f>
        <v/>
      </c>
      <c r="B124" s="26"/>
      <c r="C124" s="27" t="str">
        <f aca="false">IF(B124="","",CHOOSE(WEEKDAY(B124,2),"Lundi","Mardi","Mercredi","Jeudi","Vendredi","Samedi","Dimanche"))</f>
        <v/>
      </c>
      <c r="D124" s="28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5" t="str">
        <f aca="false">IF(B124="","",OR(AND(H124="Achat",I124="Haussier"),AND(H124="Vente",I124="Baissier"))*1+OR(AND(H124="Achat",J124="Discount"),AND(H124="Vente",J124="Premium"))*1+AND(K124&lt;&gt;"",K124&lt;&gt;"Aucune")*1+OR(L124="CHoCH",L124="BOS")*1+(M124="Oui")*1+OR(G124="Londres",G124="New York")*1+(O124="Non")*1)</f>
        <v/>
      </c>
      <c r="Q124" s="27" t="str">
        <f aca="false">IF(P124="","",IF(P124=7,"A+",IF(P124&gt;=5,"B","C")))</f>
        <v/>
      </c>
      <c r="R124" s="29"/>
      <c r="S124" s="29"/>
      <c r="T124" s="27" t="str">
        <f aca="false">IF(OR(R124="",S124=""),"",R124+(R124-S124)*Paramètres!$B$6)</f>
        <v/>
      </c>
      <c r="U124" s="29"/>
      <c r="V124" s="27" t="str">
        <f aca="false">IF(OR(R124="",S124=""),"",ABS(R124-S124))</f>
        <v/>
      </c>
      <c r="W124" s="30" t="str">
        <f aca="false">IF(OR(U124="",V124="",N(V124)=0),"",ABS(U124-R124)/V124)</f>
        <v/>
      </c>
      <c r="X124" s="31"/>
      <c r="Y124" s="29"/>
      <c r="Z124" s="32"/>
      <c r="AA124" s="33" t="str">
        <f aca="false">IF(Y124="","",IF(Y124="Stop",-1,IF(Y124="BE",0,IF(Y124="TP1 + BE",Paramètres!$B$7*Paramètres!$B$6,IF(Y124="TP1 (100 %)",Paramètres!$B$6,IF(Y124="TP2",Paramètres!$B$7*Paramètres!$B$6+(1-Paramètres!$B$7)*N(W124),IF(Y124="Sortie manuelle",N(Z124),"")))))))</f>
        <v/>
      </c>
      <c r="AB124" s="34" t="str">
        <f aca="false">IF(AA124="","",AA124*IF(X124="",Paramètres!$B$5,X124))</f>
        <v/>
      </c>
      <c r="AC124" s="35" t="str">
        <f aca="false">IF(AB124="","",Paramètres!$B$4*(1+SUM(AB$5:AB124)))</f>
        <v/>
      </c>
      <c r="AD124" s="29"/>
      <c r="AE124" s="29"/>
      <c r="AF124" s="29"/>
      <c r="AG124" s="36"/>
      <c r="AH124" s="36"/>
      <c r="AI124" s="33" t="str">
        <f aca="false">IF(AA124="","",SUM(AA$5:AA124))</f>
        <v/>
      </c>
      <c r="AJ124" s="33" t="str">
        <f aca="false">IF(AI124="","",MAX(AI124,MAX(AJ$5:AJ123),0))</f>
        <v/>
      </c>
      <c r="AK124" s="33" t="str">
        <f aca="false">IF(AI124="","",AI124-AJ124)</f>
        <v/>
      </c>
      <c r="AL124" s="25" t="str">
        <f aca="false">IF(AA124="","",IF(AA124&lt;0,N(AL123)+1,0))</f>
        <v/>
      </c>
      <c r="AM124" s="37" t="str">
        <f aca="false">IF(B124="","",B124-WEEKDAY(B124,2)+1)</f>
        <v/>
      </c>
    </row>
    <row r="125" customFormat="false" ht="15" hidden="false" customHeight="false" outlineLevel="0" collapsed="false">
      <c r="A125" s="25" t="str">
        <f aca="false">IF(B125="","",ROW()-4)</f>
        <v/>
      </c>
      <c r="B125" s="26"/>
      <c r="C125" s="27" t="str">
        <f aca="false">IF(B125="","",CHOOSE(WEEKDAY(B125,2),"Lundi","Mardi","Mercredi","Jeudi","Vendredi","Samedi","Dimanche"))</f>
        <v/>
      </c>
      <c r="D125" s="28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5" t="str">
        <f aca="false">IF(B125="","",OR(AND(H125="Achat",I125="Haussier"),AND(H125="Vente",I125="Baissier"))*1+OR(AND(H125="Achat",J125="Discount"),AND(H125="Vente",J125="Premium"))*1+AND(K125&lt;&gt;"",K125&lt;&gt;"Aucune")*1+OR(L125="CHoCH",L125="BOS")*1+(M125="Oui")*1+OR(G125="Londres",G125="New York")*1+(O125="Non")*1)</f>
        <v/>
      </c>
      <c r="Q125" s="27" t="str">
        <f aca="false">IF(P125="","",IF(P125=7,"A+",IF(P125&gt;=5,"B","C")))</f>
        <v/>
      </c>
      <c r="R125" s="29"/>
      <c r="S125" s="29"/>
      <c r="T125" s="27" t="str">
        <f aca="false">IF(OR(R125="",S125=""),"",R125+(R125-S125)*Paramètres!$B$6)</f>
        <v/>
      </c>
      <c r="U125" s="29"/>
      <c r="V125" s="27" t="str">
        <f aca="false">IF(OR(R125="",S125=""),"",ABS(R125-S125))</f>
        <v/>
      </c>
      <c r="W125" s="30" t="str">
        <f aca="false">IF(OR(U125="",V125="",N(V125)=0),"",ABS(U125-R125)/V125)</f>
        <v/>
      </c>
      <c r="X125" s="31"/>
      <c r="Y125" s="29"/>
      <c r="Z125" s="32"/>
      <c r="AA125" s="33" t="str">
        <f aca="false">IF(Y125="","",IF(Y125="Stop",-1,IF(Y125="BE",0,IF(Y125="TP1 + BE",Paramètres!$B$7*Paramètres!$B$6,IF(Y125="TP1 (100 %)",Paramètres!$B$6,IF(Y125="TP2",Paramètres!$B$7*Paramètres!$B$6+(1-Paramètres!$B$7)*N(W125),IF(Y125="Sortie manuelle",N(Z125),"")))))))</f>
        <v/>
      </c>
      <c r="AB125" s="34" t="str">
        <f aca="false">IF(AA125="","",AA125*IF(X125="",Paramètres!$B$5,X125))</f>
        <v/>
      </c>
      <c r="AC125" s="35" t="str">
        <f aca="false">IF(AB125="","",Paramètres!$B$4*(1+SUM(AB$5:AB125)))</f>
        <v/>
      </c>
      <c r="AD125" s="29"/>
      <c r="AE125" s="29"/>
      <c r="AF125" s="29"/>
      <c r="AG125" s="36"/>
      <c r="AH125" s="36"/>
      <c r="AI125" s="33" t="str">
        <f aca="false">IF(AA125="","",SUM(AA$5:AA125))</f>
        <v/>
      </c>
      <c r="AJ125" s="33" t="str">
        <f aca="false">IF(AI125="","",MAX(AI125,MAX(AJ$5:AJ124),0))</f>
        <v/>
      </c>
      <c r="AK125" s="33" t="str">
        <f aca="false">IF(AI125="","",AI125-AJ125)</f>
        <v/>
      </c>
      <c r="AL125" s="25" t="str">
        <f aca="false">IF(AA125="","",IF(AA125&lt;0,N(AL124)+1,0))</f>
        <v/>
      </c>
      <c r="AM125" s="37" t="str">
        <f aca="false">IF(B125="","",B125-WEEKDAY(B125,2)+1)</f>
        <v/>
      </c>
    </row>
    <row r="126" customFormat="false" ht="15" hidden="false" customHeight="false" outlineLevel="0" collapsed="false">
      <c r="A126" s="25" t="str">
        <f aca="false">IF(B126="","",ROW()-4)</f>
        <v/>
      </c>
      <c r="B126" s="26"/>
      <c r="C126" s="27" t="str">
        <f aca="false">IF(B126="","",CHOOSE(WEEKDAY(B126,2),"Lundi","Mardi","Mercredi","Jeudi","Vendredi","Samedi","Dimanche"))</f>
        <v/>
      </c>
      <c r="D126" s="28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5" t="str">
        <f aca="false">IF(B126="","",OR(AND(H126="Achat",I126="Haussier"),AND(H126="Vente",I126="Baissier"))*1+OR(AND(H126="Achat",J126="Discount"),AND(H126="Vente",J126="Premium"))*1+AND(K126&lt;&gt;"",K126&lt;&gt;"Aucune")*1+OR(L126="CHoCH",L126="BOS")*1+(M126="Oui")*1+OR(G126="Londres",G126="New York")*1+(O126="Non")*1)</f>
        <v/>
      </c>
      <c r="Q126" s="27" t="str">
        <f aca="false">IF(P126="","",IF(P126=7,"A+",IF(P126&gt;=5,"B","C")))</f>
        <v/>
      </c>
      <c r="R126" s="29"/>
      <c r="S126" s="29"/>
      <c r="T126" s="27" t="str">
        <f aca="false">IF(OR(R126="",S126=""),"",R126+(R126-S126)*Paramètres!$B$6)</f>
        <v/>
      </c>
      <c r="U126" s="29"/>
      <c r="V126" s="27" t="str">
        <f aca="false">IF(OR(R126="",S126=""),"",ABS(R126-S126))</f>
        <v/>
      </c>
      <c r="W126" s="30" t="str">
        <f aca="false">IF(OR(U126="",V126="",N(V126)=0),"",ABS(U126-R126)/V126)</f>
        <v/>
      </c>
      <c r="X126" s="31"/>
      <c r="Y126" s="29"/>
      <c r="Z126" s="32"/>
      <c r="AA126" s="33" t="str">
        <f aca="false">IF(Y126="","",IF(Y126="Stop",-1,IF(Y126="BE",0,IF(Y126="TP1 + BE",Paramètres!$B$7*Paramètres!$B$6,IF(Y126="TP1 (100 %)",Paramètres!$B$6,IF(Y126="TP2",Paramètres!$B$7*Paramètres!$B$6+(1-Paramètres!$B$7)*N(W126),IF(Y126="Sortie manuelle",N(Z126),"")))))))</f>
        <v/>
      </c>
      <c r="AB126" s="34" t="str">
        <f aca="false">IF(AA126="","",AA126*IF(X126="",Paramètres!$B$5,X126))</f>
        <v/>
      </c>
      <c r="AC126" s="35" t="str">
        <f aca="false">IF(AB126="","",Paramètres!$B$4*(1+SUM(AB$5:AB126)))</f>
        <v/>
      </c>
      <c r="AD126" s="29"/>
      <c r="AE126" s="29"/>
      <c r="AF126" s="29"/>
      <c r="AG126" s="36"/>
      <c r="AH126" s="36"/>
      <c r="AI126" s="33" t="str">
        <f aca="false">IF(AA126="","",SUM(AA$5:AA126))</f>
        <v/>
      </c>
      <c r="AJ126" s="33" t="str">
        <f aca="false">IF(AI126="","",MAX(AI126,MAX(AJ$5:AJ125),0))</f>
        <v/>
      </c>
      <c r="AK126" s="33" t="str">
        <f aca="false">IF(AI126="","",AI126-AJ126)</f>
        <v/>
      </c>
      <c r="AL126" s="25" t="str">
        <f aca="false">IF(AA126="","",IF(AA126&lt;0,N(AL125)+1,0))</f>
        <v/>
      </c>
      <c r="AM126" s="37" t="str">
        <f aca="false">IF(B126="","",B126-WEEKDAY(B126,2)+1)</f>
        <v/>
      </c>
    </row>
    <row r="127" customFormat="false" ht="15" hidden="false" customHeight="false" outlineLevel="0" collapsed="false">
      <c r="A127" s="25" t="str">
        <f aca="false">IF(B127="","",ROW()-4)</f>
        <v/>
      </c>
      <c r="B127" s="26"/>
      <c r="C127" s="27" t="str">
        <f aca="false">IF(B127="","",CHOOSE(WEEKDAY(B127,2),"Lundi","Mardi","Mercredi","Jeudi","Vendredi","Samedi","Dimanche"))</f>
        <v/>
      </c>
      <c r="D127" s="28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5" t="str">
        <f aca="false">IF(B127="","",OR(AND(H127="Achat",I127="Haussier"),AND(H127="Vente",I127="Baissier"))*1+OR(AND(H127="Achat",J127="Discount"),AND(H127="Vente",J127="Premium"))*1+AND(K127&lt;&gt;"",K127&lt;&gt;"Aucune")*1+OR(L127="CHoCH",L127="BOS")*1+(M127="Oui")*1+OR(G127="Londres",G127="New York")*1+(O127="Non")*1)</f>
        <v/>
      </c>
      <c r="Q127" s="27" t="str">
        <f aca="false">IF(P127="","",IF(P127=7,"A+",IF(P127&gt;=5,"B","C")))</f>
        <v/>
      </c>
      <c r="R127" s="29"/>
      <c r="S127" s="29"/>
      <c r="T127" s="27" t="str">
        <f aca="false">IF(OR(R127="",S127=""),"",R127+(R127-S127)*Paramètres!$B$6)</f>
        <v/>
      </c>
      <c r="U127" s="29"/>
      <c r="V127" s="27" t="str">
        <f aca="false">IF(OR(R127="",S127=""),"",ABS(R127-S127))</f>
        <v/>
      </c>
      <c r="W127" s="30" t="str">
        <f aca="false">IF(OR(U127="",V127="",N(V127)=0),"",ABS(U127-R127)/V127)</f>
        <v/>
      </c>
      <c r="X127" s="31"/>
      <c r="Y127" s="29"/>
      <c r="Z127" s="32"/>
      <c r="AA127" s="33" t="str">
        <f aca="false">IF(Y127="","",IF(Y127="Stop",-1,IF(Y127="BE",0,IF(Y127="TP1 + BE",Paramètres!$B$7*Paramètres!$B$6,IF(Y127="TP1 (100 %)",Paramètres!$B$6,IF(Y127="TP2",Paramètres!$B$7*Paramètres!$B$6+(1-Paramètres!$B$7)*N(W127),IF(Y127="Sortie manuelle",N(Z127),"")))))))</f>
        <v/>
      </c>
      <c r="AB127" s="34" t="str">
        <f aca="false">IF(AA127="","",AA127*IF(X127="",Paramètres!$B$5,X127))</f>
        <v/>
      </c>
      <c r="AC127" s="35" t="str">
        <f aca="false">IF(AB127="","",Paramètres!$B$4*(1+SUM(AB$5:AB127)))</f>
        <v/>
      </c>
      <c r="AD127" s="29"/>
      <c r="AE127" s="29"/>
      <c r="AF127" s="29"/>
      <c r="AG127" s="36"/>
      <c r="AH127" s="36"/>
      <c r="AI127" s="33" t="str">
        <f aca="false">IF(AA127="","",SUM(AA$5:AA127))</f>
        <v/>
      </c>
      <c r="AJ127" s="33" t="str">
        <f aca="false">IF(AI127="","",MAX(AI127,MAX(AJ$5:AJ126),0))</f>
        <v/>
      </c>
      <c r="AK127" s="33" t="str">
        <f aca="false">IF(AI127="","",AI127-AJ127)</f>
        <v/>
      </c>
      <c r="AL127" s="25" t="str">
        <f aca="false">IF(AA127="","",IF(AA127&lt;0,N(AL126)+1,0))</f>
        <v/>
      </c>
      <c r="AM127" s="37" t="str">
        <f aca="false">IF(B127="","",B127-WEEKDAY(B127,2)+1)</f>
        <v/>
      </c>
    </row>
    <row r="128" customFormat="false" ht="15" hidden="false" customHeight="false" outlineLevel="0" collapsed="false">
      <c r="A128" s="25" t="str">
        <f aca="false">IF(B128="","",ROW()-4)</f>
        <v/>
      </c>
      <c r="B128" s="26"/>
      <c r="C128" s="27" t="str">
        <f aca="false">IF(B128="","",CHOOSE(WEEKDAY(B128,2),"Lundi","Mardi","Mercredi","Jeudi","Vendredi","Samedi","Dimanche"))</f>
        <v/>
      </c>
      <c r="D128" s="28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5" t="str">
        <f aca="false">IF(B128="","",OR(AND(H128="Achat",I128="Haussier"),AND(H128="Vente",I128="Baissier"))*1+OR(AND(H128="Achat",J128="Discount"),AND(H128="Vente",J128="Premium"))*1+AND(K128&lt;&gt;"",K128&lt;&gt;"Aucune")*1+OR(L128="CHoCH",L128="BOS")*1+(M128="Oui")*1+OR(G128="Londres",G128="New York")*1+(O128="Non")*1)</f>
        <v/>
      </c>
      <c r="Q128" s="27" t="str">
        <f aca="false">IF(P128="","",IF(P128=7,"A+",IF(P128&gt;=5,"B","C")))</f>
        <v/>
      </c>
      <c r="R128" s="29"/>
      <c r="S128" s="29"/>
      <c r="T128" s="27" t="str">
        <f aca="false">IF(OR(R128="",S128=""),"",R128+(R128-S128)*Paramètres!$B$6)</f>
        <v/>
      </c>
      <c r="U128" s="29"/>
      <c r="V128" s="27" t="str">
        <f aca="false">IF(OR(R128="",S128=""),"",ABS(R128-S128))</f>
        <v/>
      </c>
      <c r="W128" s="30" t="str">
        <f aca="false">IF(OR(U128="",V128="",N(V128)=0),"",ABS(U128-R128)/V128)</f>
        <v/>
      </c>
      <c r="X128" s="31"/>
      <c r="Y128" s="29"/>
      <c r="Z128" s="32"/>
      <c r="AA128" s="33" t="str">
        <f aca="false">IF(Y128="","",IF(Y128="Stop",-1,IF(Y128="BE",0,IF(Y128="TP1 + BE",Paramètres!$B$7*Paramètres!$B$6,IF(Y128="TP1 (100 %)",Paramètres!$B$6,IF(Y128="TP2",Paramètres!$B$7*Paramètres!$B$6+(1-Paramètres!$B$7)*N(W128),IF(Y128="Sortie manuelle",N(Z128),"")))))))</f>
        <v/>
      </c>
      <c r="AB128" s="34" t="str">
        <f aca="false">IF(AA128="","",AA128*IF(X128="",Paramètres!$B$5,X128))</f>
        <v/>
      </c>
      <c r="AC128" s="35" t="str">
        <f aca="false">IF(AB128="","",Paramètres!$B$4*(1+SUM(AB$5:AB128)))</f>
        <v/>
      </c>
      <c r="AD128" s="29"/>
      <c r="AE128" s="29"/>
      <c r="AF128" s="29"/>
      <c r="AG128" s="36"/>
      <c r="AH128" s="36"/>
      <c r="AI128" s="33" t="str">
        <f aca="false">IF(AA128="","",SUM(AA$5:AA128))</f>
        <v/>
      </c>
      <c r="AJ128" s="33" t="str">
        <f aca="false">IF(AI128="","",MAX(AI128,MAX(AJ$5:AJ127),0))</f>
        <v/>
      </c>
      <c r="AK128" s="33" t="str">
        <f aca="false">IF(AI128="","",AI128-AJ128)</f>
        <v/>
      </c>
      <c r="AL128" s="25" t="str">
        <f aca="false">IF(AA128="","",IF(AA128&lt;0,N(AL127)+1,0))</f>
        <v/>
      </c>
      <c r="AM128" s="37" t="str">
        <f aca="false">IF(B128="","",B128-WEEKDAY(B128,2)+1)</f>
        <v/>
      </c>
    </row>
    <row r="129" customFormat="false" ht="15" hidden="false" customHeight="false" outlineLevel="0" collapsed="false">
      <c r="A129" s="25" t="str">
        <f aca="false">IF(B129="","",ROW()-4)</f>
        <v/>
      </c>
      <c r="B129" s="26"/>
      <c r="C129" s="27" t="str">
        <f aca="false">IF(B129="","",CHOOSE(WEEKDAY(B129,2),"Lundi","Mardi","Mercredi","Jeudi","Vendredi","Samedi","Dimanche"))</f>
        <v/>
      </c>
      <c r="D129" s="28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5" t="str">
        <f aca="false">IF(B129="","",OR(AND(H129="Achat",I129="Haussier"),AND(H129="Vente",I129="Baissier"))*1+OR(AND(H129="Achat",J129="Discount"),AND(H129="Vente",J129="Premium"))*1+AND(K129&lt;&gt;"",K129&lt;&gt;"Aucune")*1+OR(L129="CHoCH",L129="BOS")*1+(M129="Oui")*1+OR(G129="Londres",G129="New York")*1+(O129="Non")*1)</f>
        <v/>
      </c>
      <c r="Q129" s="27" t="str">
        <f aca="false">IF(P129="","",IF(P129=7,"A+",IF(P129&gt;=5,"B","C")))</f>
        <v/>
      </c>
      <c r="R129" s="29"/>
      <c r="S129" s="29"/>
      <c r="T129" s="27" t="str">
        <f aca="false">IF(OR(R129="",S129=""),"",R129+(R129-S129)*Paramètres!$B$6)</f>
        <v/>
      </c>
      <c r="U129" s="29"/>
      <c r="V129" s="27" t="str">
        <f aca="false">IF(OR(R129="",S129=""),"",ABS(R129-S129))</f>
        <v/>
      </c>
      <c r="W129" s="30" t="str">
        <f aca="false">IF(OR(U129="",V129="",N(V129)=0),"",ABS(U129-R129)/V129)</f>
        <v/>
      </c>
      <c r="X129" s="31"/>
      <c r="Y129" s="29"/>
      <c r="Z129" s="32"/>
      <c r="AA129" s="33" t="str">
        <f aca="false">IF(Y129="","",IF(Y129="Stop",-1,IF(Y129="BE",0,IF(Y129="TP1 + BE",Paramètres!$B$7*Paramètres!$B$6,IF(Y129="TP1 (100 %)",Paramètres!$B$6,IF(Y129="TP2",Paramètres!$B$7*Paramètres!$B$6+(1-Paramètres!$B$7)*N(W129),IF(Y129="Sortie manuelle",N(Z129),"")))))))</f>
        <v/>
      </c>
      <c r="AB129" s="34" t="str">
        <f aca="false">IF(AA129="","",AA129*IF(X129="",Paramètres!$B$5,X129))</f>
        <v/>
      </c>
      <c r="AC129" s="35" t="str">
        <f aca="false">IF(AB129="","",Paramètres!$B$4*(1+SUM(AB$5:AB129)))</f>
        <v/>
      </c>
      <c r="AD129" s="29"/>
      <c r="AE129" s="29"/>
      <c r="AF129" s="29"/>
      <c r="AG129" s="36"/>
      <c r="AH129" s="36"/>
      <c r="AI129" s="33" t="str">
        <f aca="false">IF(AA129="","",SUM(AA$5:AA129))</f>
        <v/>
      </c>
      <c r="AJ129" s="33" t="str">
        <f aca="false">IF(AI129="","",MAX(AI129,MAX(AJ$5:AJ128),0))</f>
        <v/>
      </c>
      <c r="AK129" s="33" t="str">
        <f aca="false">IF(AI129="","",AI129-AJ129)</f>
        <v/>
      </c>
      <c r="AL129" s="25" t="str">
        <f aca="false">IF(AA129="","",IF(AA129&lt;0,N(AL128)+1,0))</f>
        <v/>
      </c>
      <c r="AM129" s="37" t="str">
        <f aca="false">IF(B129="","",B129-WEEKDAY(B129,2)+1)</f>
        <v/>
      </c>
    </row>
    <row r="130" customFormat="false" ht="15" hidden="false" customHeight="false" outlineLevel="0" collapsed="false">
      <c r="A130" s="25" t="str">
        <f aca="false">IF(B130="","",ROW()-4)</f>
        <v/>
      </c>
      <c r="B130" s="26"/>
      <c r="C130" s="27" t="str">
        <f aca="false">IF(B130="","",CHOOSE(WEEKDAY(B130,2),"Lundi","Mardi","Mercredi","Jeudi","Vendredi","Samedi","Dimanche"))</f>
        <v/>
      </c>
      <c r="D130" s="28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5" t="str">
        <f aca="false">IF(B130="","",OR(AND(H130="Achat",I130="Haussier"),AND(H130="Vente",I130="Baissier"))*1+OR(AND(H130="Achat",J130="Discount"),AND(H130="Vente",J130="Premium"))*1+AND(K130&lt;&gt;"",K130&lt;&gt;"Aucune")*1+OR(L130="CHoCH",L130="BOS")*1+(M130="Oui")*1+OR(G130="Londres",G130="New York")*1+(O130="Non")*1)</f>
        <v/>
      </c>
      <c r="Q130" s="27" t="str">
        <f aca="false">IF(P130="","",IF(P130=7,"A+",IF(P130&gt;=5,"B","C")))</f>
        <v/>
      </c>
      <c r="R130" s="29"/>
      <c r="S130" s="29"/>
      <c r="T130" s="27" t="str">
        <f aca="false">IF(OR(R130="",S130=""),"",R130+(R130-S130)*Paramètres!$B$6)</f>
        <v/>
      </c>
      <c r="U130" s="29"/>
      <c r="V130" s="27" t="str">
        <f aca="false">IF(OR(R130="",S130=""),"",ABS(R130-S130))</f>
        <v/>
      </c>
      <c r="W130" s="30" t="str">
        <f aca="false">IF(OR(U130="",V130="",N(V130)=0),"",ABS(U130-R130)/V130)</f>
        <v/>
      </c>
      <c r="X130" s="31"/>
      <c r="Y130" s="29"/>
      <c r="Z130" s="32"/>
      <c r="AA130" s="33" t="str">
        <f aca="false">IF(Y130="","",IF(Y130="Stop",-1,IF(Y130="BE",0,IF(Y130="TP1 + BE",Paramètres!$B$7*Paramètres!$B$6,IF(Y130="TP1 (100 %)",Paramètres!$B$6,IF(Y130="TP2",Paramètres!$B$7*Paramètres!$B$6+(1-Paramètres!$B$7)*N(W130),IF(Y130="Sortie manuelle",N(Z130),"")))))))</f>
        <v/>
      </c>
      <c r="AB130" s="34" t="str">
        <f aca="false">IF(AA130="","",AA130*IF(X130="",Paramètres!$B$5,X130))</f>
        <v/>
      </c>
      <c r="AC130" s="35" t="str">
        <f aca="false">IF(AB130="","",Paramètres!$B$4*(1+SUM(AB$5:AB130)))</f>
        <v/>
      </c>
      <c r="AD130" s="29"/>
      <c r="AE130" s="29"/>
      <c r="AF130" s="29"/>
      <c r="AG130" s="36"/>
      <c r="AH130" s="36"/>
      <c r="AI130" s="33" t="str">
        <f aca="false">IF(AA130="","",SUM(AA$5:AA130))</f>
        <v/>
      </c>
      <c r="AJ130" s="33" t="str">
        <f aca="false">IF(AI130="","",MAX(AI130,MAX(AJ$5:AJ129),0))</f>
        <v/>
      </c>
      <c r="AK130" s="33" t="str">
        <f aca="false">IF(AI130="","",AI130-AJ130)</f>
        <v/>
      </c>
      <c r="AL130" s="25" t="str">
        <f aca="false">IF(AA130="","",IF(AA130&lt;0,N(AL129)+1,0))</f>
        <v/>
      </c>
      <c r="AM130" s="37" t="str">
        <f aca="false">IF(B130="","",B130-WEEKDAY(B130,2)+1)</f>
        <v/>
      </c>
    </row>
    <row r="131" customFormat="false" ht="15" hidden="false" customHeight="false" outlineLevel="0" collapsed="false">
      <c r="A131" s="25" t="str">
        <f aca="false">IF(B131="","",ROW()-4)</f>
        <v/>
      </c>
      <c r="B131" s="26"/>
      <c r="C131" s="27" t="str">
        <f aca="false">IF(B131="","",CHOOSE(WEEKDAY(B131,2),"Lundi","Mardi","Mercredi","Jeudi","Vendredi","Samedi","Dimanche"))</f>
        <v/>
      </c>
      <c r="D131" s="28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5" t="str">
        <f aca="false">IF(B131="","",OR(AND(H131="Achat",I131="Haussier"),AND(H131="Vente",I131="Baissier"))*1+OR(AND(H131="Achat",J131="Discount"),AND(H131="Vente",J131="Premium"))*1+AND(K131&lt;&gt;"",K131&lt;&gt;"Aucune")*1+OR(L131="CHoCH",L131="BOS")*1+(M131="Oui")*1+OR(G131="Londres",G131="New York")*1+(O131="Non")*1)</f>
        <v/>
      </c>
      <c r="Q131" s="27" t="str">
        <f aca="false">IF(P131="","",IF(P131=7,"A+",IF(P131&gt;=5,"B","C")))</f>
        <v/>
      </c>
      <c r="R131" s="29"/>
      <c r="S131" s="29"/>
      <c r="T131" s="27" t="str">
        <f aca="false">IF(OR(R131="",S131=""),"",R131+(R131-S131)*Paramètres!$B$6)</f>
        <v/>
      </c>
      <c r="U131" s="29"/>
      <c r="V131" s="27" t="str">
        <f aca="false">IF(OR(R131="",S131=""),"",ABS(R131-S131))</f>
        <v/>
      </c>
      <c r="W131" s="30" t="str">
        <f aca="false">IF(OR(U131="",V131="",N(V131)=0),"",ABS(U131-R131)/V131)</f>
        <v/>
      </c>
      <c r="X131" s="31"/>
      <c r="Y131" s="29"/>
      <c r="Z131" s="32"/>
      <c r="AA131" s="33" t="str">
        <f aca="false">IF(Y131="","",IF(Y131="Stop",-1,IF(Y131="BE",0,IF(Y131="TP1 + BE",Paramètres!$B$7*Paramètres!$B$6,IF(Y131="TP1 (100 %)",Paramètres!$B$6,IF(Y131="TP2",Paramètres!$B$7*Paramètres!$B$6+(1-Paramètres!$B$7)*N(W131),IF(Y131="Sortie manuelle",N(Z131),"")))))))</f>
        <v/>
      </c>
      <c r="AB131" s="34" t="str">
        <f aca="false">IF(AA131="","",AA131*IF(X131="",Paramètres!$B$5,X131))</f>
        <v/>
      </c>
      <c r="AC131" s="35" t="str">
        <f aca="false">IF(AB131="","",Paramètres!$B$4*(1+SUM(AB$5:AB131)))</f>
        <v/>
      </c>
      <c r="AD131" s="29"/>
      <c r="AE131" s="29"/>
      <c r="AF131" s="29"/>
      <c r="AG131" s="36"/>
      <c r="AH131" s="36"/>
      <c r="AI131" s="33" t="str">
        <f aca="false">IF(AA131="","",SUM(AA$5:AA131))</f>
        <v/>
      </c>
      <c r="AJ131" s="33" t="str">
        <f aca="false">IF(AI131="","",MAX(AI131,MAX(AJ$5:AJ130),0))</f>
        <v/>
      </c>
      <c r="AK131" s="33" t="str">
        <f aca="false">IF(AI131="","",AI131-AJ131)</f>
        <v/>
      </c>
      <c r="AL131" s="25" t="str">
        <f aca="false">IF(AA131="","",IF(AA131&lt;0,N(AL130)+1,0))</f>
        <v/>
      </c>
      <c r="AM131" s="37" t="str">
        <f aca="false">IF(B131="","",B131-WEEKDAY(B131,2)+1)</f>
        <v/>
      </c>
    </row>
    <row r="132" customFormat="false" ht="15" hidden="false" customHeight="false" outlineLevel="0" collapsed="false">
      <c r="A132" s="25" t="str">
        <f aca="false">IF(B132="","",ROW()-4)</f>
        <v/>
      </c>
      <c r="B132" s="26"/>
      <c r="C132" s="27" t="str">
        <f aca="false">IF(B132="","",CHOOSE(WEEKDAY(B132,2),"Lundi","Mardi","Mercredi","Jeudi","Vendredi","Samedi","Dimanche"))</f>
        <v/>
      </c>
      <c r="D132" s="28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5" t="str">
        <f aca="false">IF(B132="","",OR(AND(H132="Achat",I132="Haussier"),AND(H132="Vente",I132="Baissier"))*1+OR(AND(H132="Achat",J132="Discount"),AND(H132="Vente",J132="Premium"))*1+AND(K132&lt;&gt;"",K132&lt;&gt;"Aucune")*1+OR(L132="CHoCH",L132="BOS")*1+(M132="Oui")*1+OR(G132="Londres",G132="New York")*1+(O132="Non")*1)</f>
        <v/>
      </c>
      <c r="Q132" s="27" t="str">
        <f aca="false">IF(P132="","",IF(P132=7,"A+",IF(P132&gt;=5,"B","C")))</f>
        <v/>
      </c>
      <c r="R132" s="29"/>
      <c r="S132" s="29"/>
      <c r="T132" s="27" t="str">
        <f aca="false">IF(OR(R132="",S132=""),"",R132+(R132-S132)*Paramètres!$B$6)</f>
        <v/>
      </c>
      <c r="U132" s="29"/>
      <c r="V132" s="27" t="str">
        <f aca="false">IF(OR(R132="",S132=""),"",ABS(R132-S132))</f>
        <v/>
      </c>
      <c r="W132" s="30" t="str">
        <f aca="false">IF(OR(U132="",V132="",N(V132)=0),"",ABS(U132-R132)/V132)</f>
        <v/>
      </c>
      <c r="X132" s="31"/>
      <c r="Y132" s="29"/>
      <c r="Z132" s="32"/>
      <c r="AA132" s="33" t="str">
        <f aca="false">IF(Y132="","",IF(Y132="Stop",-1,IF(Y132="BE",0,IF(Y132="TP1 + BE",Paramètres!$B$7*Paramètres!$B$6,IF(Y132="TP1 (100 %)",Paramètres!$B$6,IF(Y132="TP2",Paramètres!$B$7*Paramètres!$B$6+(1-Paramètres!$B$7)*N(W132),IF(Y132="Sortie manuelle",N(Z132),"")))))))</f>
        <v/>
      </c>
      <c r="AB132" s="34" t="str">
        <f aca="false">IF(AA132="","",AA132*IF(X132="",Paramètres!$B$5,X132))</f>
        <v/>
      </c>
      <c r="AC132" s="35" t="str">
        <f aca="false">IF(AB132="","",Paramètres!$B$4*(1+SUM(AB$5:AB132)))</f>
        <v/>
      </c>
      <c r="AD132" s="29"/>
      <c r="AE132" s="29"/>
      <c r="AF132" s="29"/>
      <c r="AG132" s="36"/>
      <c r="AH132" s="36"/>
      <c r="AI132" s="33" t="str">
        <f aca="false">IF(AA132="","",SUM(AA$5:AA132))</f>
        <v/>
      </c>
      <c r="AJ132" s="33" t="str">
        <f aca="false">IF(AI132="","",MAX(AI132,MAX(AJ$5:AJ131),0))</f>
        <v/>
      </c>
      <c r="AK132" s="33" t="str">
        <f aca="false">IF(AI132="","",AI132-AJ132)</f>
        <v/>
      </c>
      <c r="AL132" s="25" t="str">
        <f aca="false">IF(AA132="","",IF(AA132&lt;0,N(AL131)+1,0))</f>
        <v/>
      </c>
      <c r="AM132" s="37" t="str">
        <f aca="false">IF(B132="","",B132-WEEKDAY(B132,2)+1)</f>
        <v/>
      </c>
    </row>
    <row r="133" customFormat="false" ht="15" hidden="false" customHeight="false" outlineLevel="0" collapsed="false">
      <c r="A133" s="25" t="str">
        <f aca="false">IF(B133="","",ROW()-4)</f>
        <v/>
      </c>
      <c r="B133" s="26"/>
      <c r="C133" s="27" t="str">
        <f aca="false">IF(B133="","",CHOOSE(WEEKDAY(B133,2),"Lundi","Mardi","Mercredi","Jeudi","Vendredi","Samedi","Dimanche"))</f>
        <v/>
      </c>
      <c r="D133" s="28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5" t="str">
        <f aca="false">IF(B133="","",OR(AND(H133="Achat",I133="Haussier"),AND(H133="Vente",I133="Baissier"))*1+OR(AND(H133="Achat",J133="Discount"),AND(H133="Vente",J133="Premium"))*1+AND(K133&lt;&gt;"",K133&lt;&gt;"Aucune")*1+OR(L133="CHoCH",L133="BOS")*1+(M133="Oui")*1+OR(G133="Londres",G133="New York")*1+(O133="Non")*1)</f>
        <v/>
      </c>
      <c r="Q133" s="27" t="str">
        <f aca="false">IF(P133="","",IF(P133=7,"A+",IF(P133&gt;=5,"B","C")))</f>
        <v/>
      </c>
      <c r="R133" s="29"/>
      <c r="S133" s="29"/>
      <c r="T133" s="27" t="str">
        <f aca="false">IF(OR(R133="",S133=""),"",R133+(R133-S133)*Paramètres!$B$6)</f>
        <v/>
      </c>
      <c r="U133" s="29"/>
      <c r="V133" s="27" t="str">
        <f aca="false">IF(OR(R133="",S133=""),"",ABS(R133-S133))</f>
        <v/>
      </c>
      <c r="W133" s="30" t="str">
        <f aca="false">IF(OR(U133="",V133="",N(V133)=0),"",ABS(U133-R133)/V133)</f>
        <v/>
      </c>
      <c r="X133" s="31"/>
      <c r="Y133" s="29"/>
      <c r="Z133" s="32"/>
      <c r="AA133" s="33" t="str">
        <f aca="false">IF(Y133="","",IF(Y133="Stop",-1,IF(Y133="BE",0,IF(Y133="TP1 + BE",Paramètres!$B$7*Paramètres!$B$6,IF(Y133="TP1 (100 %)",Paramètres!$B$6,IF(Y133="TP2",Paramètres!$B$7*Paramètres!$B$6+(1-Paramètres!$B$7)*N(W133),IF(Y133="Sortie manuelle",N(Z133),"")))))))</f>
        <v/>
      </c>
      <c r="AB133" s="34" t="str">
        <f aca="false">IF(AA133="","",AA133*IF(X133="",Paramètres!$B$5,X133))</f>
        <v/>
      </c>
      <c r="AC133" s="35" t="str">
        <f aca="false">IF(AB133="","",Paramètres!$B$4*(1+SUM(AB$5:AB133)))</f>
        <v/>
      </c>
      <c r="AD133" s="29"/>
      <c r="AE133" s="29"/>
      <c r="AF133" s="29"/>
      <c r="AG133" s="36"/>
      <c r="AH133" s="36"/>
      <c r="AI133" s="33" t="str">
        <f aca="false">IF(AA133="","",SUM(AA$5:AA133))</f>
        <v/>
      </c>
      <c r="AJ133" s="33" t="str">
        <f aca="false">IF(AI133="","",MAX(AI133,MAX(AJ$5:AJ132),0))</f>
        <v/>
      </c>
      <c r="AK133" s="33" t="str">
        <f aca="false">IF(AI133="","",AI133-AJ133)</f>
        <v/>
      </c>
      <c r="AL133" s="25" t="str">
        <f aca="false">IF(AA133="","",IF(AA133&lt;0,N(AL132)+1,0))</f>
        <v/>
      </c>
      <c r="AM133" s="37" t="str">
        <f aca="false">IF(B133="","",B133-WEEKDAY(B133,2)+1)</f>
        <v/>
      </c>
    </row>
    <row r="134" customFormat="false" ht="15" hidden="false" customHeight="false" outlineLevel="0" collapsed="false">
      <c r="A134" s="25" t="str">
        <f aca="false">IF(B134="","",ROW()-4)</f>
        <v/>
      </c>
      <c r="B134" s="26"/>
      <c r="C134" s="27" t="str">
        <f aca="false">IF(B134="","",CHOOSE(WEEKDAY(B134,2),"Lundi","Mardi","Mercredi","Jeudi","Vendredi","Samedi","Dimanche"))</f>
        <v/>
      </c>
      <c r="D134" s="28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5" t="str">
        <f aca="false">IF(B134="","",OR(AND(H134="Achat",I134="Haussier"),AND(H134="Vente",I134="Baissier"))*1+OR(AND(H134="Achat",J134="Discount"),AND(H134="Vente",J134="Premium"))*1+AND(K134&lt;&gt;"",K134&lt;&gt;"Aucune")*1+OR(L134="CHoCH",L134="BOS")*1+(M134="Oui")*1+OR(G134="Londres",G134="New York")*1+(O134="Non")*1)</f>
        <v/>
      </c>
      <c r="Q134" s="27" t="str">
        <f aca="false">IF(P134="","",IF(P134=7,"A+",IF(P134&gt;=5,"B","C")))</f>
        <v/>
      </c>
      <c r="R134" s="29"/>
      <c r="S134" s="29"/>
      <c r="T134" s="27" t="str">
        <f aca="false">IF(OR(R134="",S134=""),"",R134+(R134-S134)*Paramètres!$B$6)</f>
        <v/>
      </c>
      <c r="U134" s="29"/>
      <c r="V134" s="27" t="str">
        <f aca="false">IF(OR(R134="",S134=""),"",ABS(R134-S134))</f>
        <v/>
      </c>
      <c r="W134" s="30" t="str">
        <f aca="false">IF(OR(U134="",V134="",N(V134)=0),"",ABS(U134-R134)/V134)</f>
        <v/>
      </c>
      <c r="X134" s="31"/>
      <c r="Y134" s="29"/>
      <c r="Z134" s="32"/>
      <c r="AA134" s="33" t="str">
        <f aca="false">IF(Y134="","",IF(Y134="Stop",-1,IF(Y134="BE",0,IF(Y134="TP1 + BE",Paramètres!$B$7*Paramètres!$B$6,IF(Y134="TP1 (100 %)",Paramètres!$B$6,IF(Y134="TP2",Paramètres!$B$7*Paramètres!$B$6+(1-Paramètres!$B$7)*N(W134),IF(Y134="Sortie manuelle",N(Z134),"")))))))</f>
        <v/>
      </c>
      <c r="AB134" s="34" t="str">
        <f aca="false">IF(AA134="","",AA134*IF(X134="",Paramètres!$B$5,X134))</f>
        <v/>
      </c>
      <c r="AC134" s="35" t="str">
        <f aca="false">IF(AB134="","",Paramètres!$B$4*(1+SUM(AB$5:AB134)))</f>
        <v/>
      </c>
      <c r="AD134" s="29"/>
      <c r="AE134" s="29"/>
      <c r="AF134" s="29"/>
      <c r="AG134" s="36"/>
      <c r="AH134" s="36"/>
      <c r="AI134" s="33" t="str">
        <f aca="false">IF(AA134="","",SUM(AA$5:AA134))</f>
        <v/>
      </c>
      <c r="AJ134" s="33" t="str">
        <f aca="false">IF(AI134="","",MAX(AI134,MAX(AJ$5:AJ133),0))</f>
        <v/>
      </c>
      <c r="AK134" s="33" t="str">
        <f aca="false">IF(AI134="","",AI134-AJ134)</f>
        <v/>
      </c>
      <c r="AL134" s="25" t="str">
        <f aca="false">IF(AA134="","",IF(AA134&lt;0,N(AL133)+1,0))</f>
        <v/>
      </c>
      <c r="AM134" s="37" t="str">
        <f aca="false">IF(B134="","",B134-WEEKDAY(B134,2)+1)</f>
        <v/>
      </c>
    </row>
    <row r="135" customFormat="false" ht="15" hidden="false" customHeight="false" outlineLevel="0" collapsed="false">
      <c r="A135" s="25" t="str">
        <f aca="false">IF(B135="","",ROW()-4)</f>
        <v/>
      </c>
      <c r="B135" s="26"/>
      <c r="C135" s="27" t="str">
        <f aca="false">IF(B135="","",CHOOSE(WEEKDAY(B135,2),"Lundi","Mardi","Mercredi","Jeudi","Vendredi","Samedi","Dimanche"))</f>
        <v/>
      </c>
      <c r="D135" s="28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5" t="str">
        <f aca="false">IF(B135="","",OR(AND(H135="Achat",I135="Haussier"),AND(H135="Vente",I135="Baissier"))*1+OR(AND(H135="Achat",J135="Discount"),AND(H135="Vente",J135="Premium"))*1+AND(K135&lt;&gt;"",K135&lt;&gt;"Aucune")*1+OR(L135="CHoCH",L135="BOS")*1+(M135="Oui")*1+OR(G135="Londres",G135="New York")*1+(O135="Non")*1)</f>
        <v/>
      </c>
      <c r="Q135" s="27" t="str">
        <f aca="false">IF(P135="","",IF(P135=7,"A+",IF(P135&gt;=5,"B","C")))</f>
        <v/>
      </c>
      <c r="R135" s="29"/>
      <c r="S135" s="29"/>
      <c r="T135" s="27" t="str">
        <f aca="false">IF(OR(R135="",S135=""),"",R135+(R135-S135)*Paramètres!$B$6)</f>
        <v/>
      </c>
      <c r="U135" s="29"/>
      <c r="V135" s="27" t="str">
        <f aca="false">IF(OR(R135="",S135=""),"",ABS(R135-S135))</f>
        <v/>
      </c>
      <c r="W135" s="30" t="str">
        <f aca="false">IF(OR(U135="",V135="",N(V135)=0),"",ABS(U135-R135)/V135)</f>
        <v/>
      </c>
      <c r="X135" s="31"/>
      <c r="Y135" s="29"/>
      <c r="Z135" s="32"/>
      <c r="AA135" s="33" t="str">
        <f aca="false">IF(Y135="","",IF(Y135="Stop",-1,IF(Y135="BE",0,IF(Y135="TP1 + BE",Paramètres!$B$7*Paramètres!$B$6,IF(Y135="TP1 (100 %)",Paramètres!$B$6,IF(Y135="TP2",Paramètres!$B$7*Paramètres!$B$6+(1-Paramètres!$B$7)*N(W135),IF(Y135="Sortie manuelle",N(Z135),"")))))))</f>
        <v/>
      </c>
      <c r="AB135" s="34" t="str">
        <f aca="false">IF(AA135="","",AA135*IF(X135="",Paramètres!$B$5,X135))</f>
        <v/>
      </c>
      <c r="AC135" s="35" t="str">
        <f aca="false">IF(AB135="","",Paramètres!$B$4*(1+SUM(AB$5:AB135)))</f>
        <v/>
      </c>
      <c r="AD135" s="29"/>
      <c r="AE135" s="29"/>
      <c r="AF135" s="29"/>
      <c r="AG135" s="36"/>
      <c r="AH135" s="36"/>
      <c r="AI135" s="33" t="str">
        <f aca="false">IF(AA135="","",SUM(AA$5:AA135))</f>
        <v/>
      </c>
      <c r="AJ135" s="33" t="str">
        <f aca="false">IF(AI135="","",MAX(AI135,MAX(AJ$5:AJ134),0))</f>
        <v/>
      </c>
      <c r="AK135" s="33" t="str">
        <f aca="false">IF(AI135="","",AI135-AJ135)</f>
        <v/>
      </c>
      <c r="AL135" s="25" t="str">
        <f aca="false">IF(AA135="","",IF(AA135&lt;0,N(AL134)+1,0))</f>
        <v/>
      </c>
      <c r="AM135" s="37" t="str">
        <f aca="false">IF(B135="","",B135-WEEKDAY(B135,2)+1)</f>
        <v/>
      </c>
    </row>
    <row r="136" customFormat="false" ht="15" hidden="false" customHeight="false" outlineLevel="0" collapsed="false">
      <c r="A136" s="25" t="str">
        <f aca="false">IF(B136="","",ROW()-4)</f>
        <v/>
      </c>
      <c r="B136" s="26"/>
      <c r="C136" s="27" t="str">
        <f aca="false">IF(B136="","",CHOOSE(WEEKDAY(B136,2),"Lundi","Mardi","Mercredi","Jeudi","Vendredi","Samedi","Dimanche"))</f>
        <v/>
      </c>
      <c r="D136" s="28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5" t="str">
        <f aca="false">IF(B136="","",OR(AND(H136="Achat",I136="Haussier"),AND(H136="Vente",I136="Baissier"))*1+OR(AND(H136="Achat",J136="Discount"),AND(H136="Vente",J136="Premium"))*1+AND(K136&lt;&gt;"",K136&lt;&gt;"Aucune")*1+OR(L136="CHoCH",L136="BOS")*1+(M136="Oui")*1+OR(G136="Londres",G136="New York")*1+(O136="Non")*1)</f>
        <v/>
      </c>
      <c r="Q136" s="27" t="str">
        <f aca="false">IF(P136="","",IF(P136=7,"A+",IF(P136&gt;=5,"B","C")))</f>
        <v/>
      </c>
      <c r="R136" s="29"/>
      <c r="S136" s="29"/>
      <c r="T136" s="27" t="str">
        <f aca="false">IF(OR(R136="",S136=""),"",R136+(R136-S136)*Paramètres!$B$6)</f>
        <v/>
      </c>
      <c r="U136" s="29"/>
      <c r="V136" s="27" t="str">
        <f aca="false">IF(OR(R136="",S136=""),"",ABS(R136-S136))</f>
        <v/>
      </c>
      <c r="W136" s="30" t="str">
        <f aca="false">IF(OR(U136="",V136="",N(V136)=0),"",ABS(U136-R136)/V136)</f>
        <v/>
      </c>
      <c r="X136" s="31"/>
      <c r="Y136" s="29"/>
      <c r="Z136" s="32"/>
      <c r="AA136" s="33" t="str">
        <f aca="false">IF(Y136="","",IF(Y136="Stop",-1,IF(Y136="BE",0,IF(Y136="TP1 + BE",Paramètres!$B$7*Paramètres!$B$6,IF(Y136="TP1 (100 %)",Paramètres!$B$6,IF(Y136="TP2",Paramètres!$B$7*Paramètres!$B$6+(1-Paramètres!$B$7)*N(W136),IF(Y136="Sortie manuelle",N(Z136),"")))))))</f>
        <v/>
      </c>
      <c r="AB136" s="34" t="str">
        <f aca="false">IF(AA136="","",AA136*IF(X136="",Paramètres!$B$5,X136))</f>
        <v/>
      </c>
      <c r="AC136" s="35" t="str">
        <f aca="false">IF(AB136="","",Paramètres!$B$4*(1+SUM(AB$5:AB136)))</f>
        <v/>
      </c>
      <c r="AD136" s="29"/>
      <c r="AE136" s="29"/>
      <c r="AF136" s="29"/>
      <c r="AG136" s="36"/>
      <c r="AH136" s="36"/>
      <c r="AI136" s="33" t="str">
        <f aca="false">IF(AA136="","",SUM(AA$5:AA136))</f>
        <v/>
      </c>
      <c r="AJ136" s="33" t="str">
        <f aca="false">IF(AI136="","",MAX(AI136,MAX(AJ$5:AJ135),0))</f>
        <v/>
      </c>
      <c r="AK136" s="33" t="str">
        <f aca="false">IF(AI136="","",AI136-AJ136)</f>
        <v/>
      </c>
      <c r="AL136" s="25" t="str">
        <f aca="false">IF(AA136="","",IF(AA136&lt;0,N(AL135)+1,0))</f>
        <v/>
      </c>
      <c r="AM136" s="37" t="str">
        <f aca="false">IF(B136="","",B136-WEEKDAY(B136,2)+1)</f>
        <v/>
      </c>
    </row>
    <row r="137" customFormat="false" ht="15" hidden="false" customHeight="false" outlineLevel="0" collapsed="false">
      <c r="A137" s="25" t="str">
        <f aca="false">IF(B137="","",ROW()-4)</f>
        <v/>
      </c>
      <c r="B137" s="26"/>
      <c r="C137" s="27" t="str">
        <f aca="false">IF(B137="","",CHOOSE(WEEKDAY(B137,2),"Lundi","Mardi","Mercredi","Jeudi","Vendredi","Samedi","Dimanche"))</f>
        <v/>
      </c>
      <c r="D137" s="28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5" t="str">
        <f aca="false">IF(B137="","",OR(AND(H137="Achat",I137="Haussier"),AND(H137="Vente",I137="Baissier"))*1+OR(AND(H137="Achat",J137="Discount"),AND(H137="Vente",J137="Premium"))*1+AND(K137&lt;&gt;"",K137&lt;&gt;"Aucune")*1+OR(L137="CHoCH",L137="BOS")*1+(M137="Oui")*1+OR(G137="Londres",G137="New York")*1+(O137="Non")*1)</f>
        <v/>
      </c>
      <c r="Q137" s="27" t="str">
        <f aca="false">IF(P137="","",IF(P137=7,"A+",IF(P137&gt;=5,"B","C")))</f>
        <v/>
      </c>
      <c r="R137" s="29"/>
      <c r="S137" s="29"/>
      <c r="T137" s="27" t="str">
        <f aca="false">IF(OR(R137="",S137=""),"",R137+(R137-S137)*Paramètres!$B$6)</f>
        <v/>
      </c>
      <c r="U137" s="29"/>
      <c r="V137" s="27" t="str">
        <f aca="false">IF(OR(R137="",S137=""),"",ABS(R137-S137))</f>
        <v/>
      </c>
      <c r="W137" s="30" t="str">
        <f aca="false">IF(OR(U137="",V137="",N(V137)=0),"",ABS(U137-R137)/V137)</f>
        <v/>
      </c>
      <c r="X137" s="31"/>
      <c r="Y137" s="29"/>
      <c r="Z137" s="32"/>
      <c r="AA137" s="33" t="str">
        <f aca="false">IF(Y137="","",IF(Y137="Stop",-1,IF(Y137="BE",0,IF(Y137="TP1 + BE",Paramètres!$B$7*Paramètres!$B$6,IF(Y137="TP1 (100 %)",Paramètres!$B$6,IF(Y137="TP2",Paramètres!$B$7*Paramètres!$B$6+(1-Paramètres!$B$7)*N(W137),IF(Y137="Sortie manuelle",N(Z137),"")))))))</f>
        <v/>
      </c>
      <c r="AB137" s="34" t="str">
        <f aca="false">IF(AA137="","",AA137*IF(X137="",Paramètres!$B$5,X137))</f>
        <v/>
      </c>
      <c r="AC137" s="35" t="str">
        <f aca="false">IF(AB137="","",Paramètres!$B$4*(1+SUM(AB$5:AB137)))</f>
        <v/>
      </c>
      <c r="AD137" s="29"/>
      <c r="AE137" s="29"/>
      <c r="AF137" s="29"/>
      <c r="AG137" s="36"/>
      <c r="AH137" s="36"/>
      <c r="AI137" s="33" t="str">
        <f aca="false">IF(AA137="","",SUM(AA$5:AA137))</f>
        <v/>
      </c>
      <c r="AJ137" s="33" t="str">
        <f aca="false">IF(AI137="","",MAX(AI137,MAX(AJ$5:AJ136),0))</f>
        <v/>
      </c>
      <c r="AK137" s="33" t="str">
        <f aca="false">IF(AI137="","",AI137-AJ137)</f>
        <v/>
      </c>
      <c r="AL137" s="25" t="str">
        <f aca="false">IF(AA137="","",IF(AA137&lt;0,N(AL136)+1,0))</f>
        <v/>
      </c>
      <c r="AM137" s="37" t="str">
        <f aca="false">IF(B137="","",B137-WEEKDAY(B137,2)+1)</f>
        <v/>
      </c>
    </row>
    <row r="138" customFormat="false" ht="15" hidden="false" customHeight="false" outlineLevel="0" collapsed="false">
      <c r="A138" s="25" t="str">
        <f aca="false">IF(B138="","",ROW()-4)</f>
        <v/>
      </c>
      <c r="B138" s="26"/>
      <c r="C138" s="27" t="str">
        <f aca="false">IF(B138="","",CHOOSE(WEEKDAY(B138,2),"Lundi","Mardi","Mercredi","Jeudi","Vendredi","Samedi","Dimanche"))</f>
        <v/>
      </c>
      <c r="D138" s="28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5" t="str">
        <f aca="false">IF(B138="","",OR(AND(H138="Achat",I138="Haussier"),AND(H138="Vente",I138="Baissier"))*1+OR(AND(H138="Achat",J138="Discount"),AND(H138="Vente",J138="Premium"))*1+AND(K138&lt;&gt;"",K138&lt;&gt;"Aucune")*1+OR(L138="CHoCH",L138="BOS")*1+(M138="Oui")*1+OR(G138="Londres",G138="New York")*1+(O138="Non")*1)</f>
        <v/>
      </c>
      <c r="Q138" s="27" t="str">
        <f aca="false">IF(P138="","",IF(P138=7,"A+",IF(P138&gt;=5,"B","C")))</f>
        <v/>
      </c>
      <c r="R138" s="29"/>
      <c r="S138" s="29"/>
      <c r="T138" s="27" t="str">
        <f aca="false">IF(OR(R138="",S138=""),"",R138+(R138-S138)*Paramètres!$B$6)</f>
        <v/>
      </c>
      <c r="U138" s="29"/>
      <c r="V138" s="27" t="str">
        <f aca="false">IF(OR(R138="",S138=""),"",ABS(R138-S138))</f>
        <v/>
      </c>
      <c r="W138" s="30" t="str">
        <f aca="false">IF(OR(U138="",V138="",N(V138)=0),"",ABS(U138-R138)/V138)</f>
        <v/>
      </c>
      <c r="X138" s="31"/>
      <c r="Y138" s="29"/>
      <c r="Z138" s="32"/>
      <c r="AA138" s="33" t="str">
        <f aca="false">IF(Y138="","",IF(Y138="Stop",-1,IF(Y138="BE",0,IF(Y138="TP1 + BE",Paramètres!$B$7*Paramètres!$B$6,IF(Y138="TP1 (100 %)",Paramètres!$B$6,IF(Y138="TP2",Paramètres!$B$7*Paramètres!$B$6+(1-Paramètres!$B$7)*N(W138),IF(Y138="Sortie manuelle",N(Z138),"")))))))</f>
        <v/>
      </c>
      <c r="AB138" s="34" t="str">
        <f aca="false">IF(AA138="","",AA138*IF(X138="",Paramètres!$B$5,X138))</f>
        <v/>
      </c>
      <c r="AC138" s="35" t="str">
        <f aca="false">IF(AB138="","",Paramètres!$B$4*(1+SUM(AB$5:AB138)))</f>
        <v/>
      </c>
      <c r="AD138" s="29"/>
      <c r="AE138" s="29"/>
      <c r="AF138" s="29"/>
      <c r="AG138" s="36"/>
      <c r="AH138" s="36"/>
      <c r="AI138" s="33" t="str">
        <f aca="false">IF(AA138="","",SUM(AA$5:AA138))</f>
        <v/>
      </c>
      <c r="AJ138" s="33" t="str">
        <f aca="false">IF(AI138="","",MAX(AI138,MAX(AJ$5:AJ137),0))</f>
        <v/>
      </c>
      <c r="AK138" s="33" t="str">
        <f aca="false">IF(AI138="","",AI138-AJ138)</f>
        <v/>
      </c>
      <c r="AL138" s="25" t="str">
        <f aca="false">IF(AA138="","",IF(AA138&lt;0,N(AL137)+1,0))</f>
        <v/>
      </c>
      <c r="AM138" s="37" t="str">
        <f aca="false">IF(B138="","",B138-WEEKDAY(B138,2)+1)</f>
        <v/>
      </c>
    </row>
    <row r="139" customFormat="false" ht="15" hidden="false" customHeight="false" outlineLevel="0" collapsed="false">
      <c r="A139" s="25" t="str">
        <f aca="false">IF(B139="","",ROW()-4)</f>
        <v/>
      </c>
      <c r="B139" s="26"/>
      <c r="C139" s="27" t="str">
        <f aca="false">IF(B139="","",CHOOSE(WEEKDAY(B139,2),"Lundi","Mardi","Mercredi","Jeudi","Vendredi","Samedi","Dimanche"))</f>
        <v/>
      </c>
      <c r="D139" s="28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5" t="str">
        <f aca="false">IF(B139="","",OR(AND(H139="Achat",I139="Haussier"),AND(H139="Vente",I139="Baissier"))*1+OR(AND(H139="Achat",J139="Discount"),AND(H139="Vente",J139="Premium"))*1+AND(K139&lt;&gt;"",K139&lt;&gt;"Aucune")*1+OR(L139="CHoCH",L139="BOS")*1+(M139="Oui")*1+OR(G139="Londres",G139="New York")*1+(O139="Non")*1)</f>
        <v/>
      </c>
      <c r="Q139" s="27" t="str">
        <f aca="false">IF(P139="","",IF(P139=7,"A+",IF(P139&gt;=5,"B","C")))</f>
        <v/>
      </c>
      <c r="R139" s="29"/>
      <c r="S139" s="29"/>
      <c r="T139" s="27" t="str">
        <f aca="false">IF(OR(R139="",S139=""),"",R139+(R139-S139)*Paramètres!$B$6)</f>
        <v/>
      </c>
      <c r="U139" s="29"/>
      <c r="V139" s="27" t="str">
        <f aca="false">IF(OR(R139="",S139=""),"",ABS(R139-S139))</f>
        <v/>
      </c>
      <c r="W139" s="30" t="str">
        <f aca="false">IF(OR(U139="",V139="",N(V139)=0),"",ABS(U139-R139)/V139)</f>
        <v/>
      </c>
      <c r="X139" s="31"/>
      <c r="Y139" s="29"/>
      <c r="Z139" s="32"/>
      <c r="AA139" s="33" t="str">
        <f aca="false">IF(Y139="","",IF(Y139="Stop",-1,IF(Y139="BE",0,IF(Y139="TP1 + BE",Paramètres!$B$7*Paramètres!$B$6,IF(Y139="TP1 (100 %)",Paramètres!$B$6,IF(Y139="TP2",Paramètres!$B$7*Paramètres!$B$6+(1-Paramètres!$B$7)*N(W139),IF(Y139="Sortie manuelle",N(Z139),"")))))))</f>
        <v/>
      </c>
      <c r="AB139" s="34" t="str">
        <f aca="false">IF(AA139="","",AA139*IF(X139="",Paramètres!$B$5,X139))</f>
        <v/>
      </c>
      <c r="AC139" s="35" t="str">
        <f aca="false">IF(AB139="","",Paramètres!$B$4*(1+SUM(AB$5:AB139)))</f>
        <v/>
      </c>
      <c r="AD139" s="29"/>
      <c r="AE139" s="29"/>
      <c r="AF139" s="29"/>
      <c r="AG139" s="36"/>
      <c r="AH139" s="36"/>
      <c r="AI139" s="33" t="str">
        <f aca="false">IF(AA139="","",SUM(AA$5:AA139))</f>
        <v/>
      </c>
      <c r="AJ139" s="33" t="str">
        <f aca="false">IF(AI139="","",MAX(AI139,MAX(AJ$5:AJ138),0))</f>
        <v/>
      </c>
      <c r="AK139" s="33" t="str">
        <f aca="false">IF(AI139="","",AI139-AJ139)</f>
        <v/>
      </c>
      <c r="AL139" s="25" t="str">
        <f aca="false">IF(AA139="","",IF(AA139&lt;0,N(AL138)+1,0))</f>
        <v/>
      </c>
      <c r="AM139" s="37" t="str">
        <f aca="false">IF(B139="","",B139-WEEKDAY(B139,2)+1)</f>
        <v/>
      </c>
    </row>
    <row r="140" customFormat="false" ht="15" hidden="false" customHeight="false" outlineLevel="0" collapsed="false">
      <c r="A140" s="25" t="str">
        <f aca="false">IF(B140="","",ROW()-4)</f>
        <v/>
      </c>
      <c r="B140" s="26"/>
      <c r="C140" s="27" t="str">
        <f aca="false">IF(B140="","",CHOOSE(WEEKDAY(B140,2),"Lundi","Mardi","Mercredi","Jeudi","Vendredi","Samedi","Dimanche"))</f>
        <v/>
      </c>
      <c r="D140" s="28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5" t="str">
        <f aca="false">IF(B140="","",OR(AND(H140="Achat",I140="Haussier"),AND(H140="Vente",I140="Baissier"))*1+OR(AND(H140="Achat",J140="Discount"),AND(H140="Vente",J140="Premium"))*1+AND(K140&lt;&gt;"",K140&lt;&gt;"Aucune")*1+OR(L140="CHoCH",L140="BOS")*1+(M140="Oui")*1+OR(G140="Londres",G140="New York")*1+(O140="Non")*1)</f>
        <v/>
      </c>
      <c r="Q140" s="27" t="str">
        <f aca="false">IF(P140="","",IF(P140=7,"A+",IF(P140&gt;=5,"B","C")))</f>
        <v/>
      </c>
      <c r="R140" s="29"/>
      <c r="S140" s="29"/>
      <c r="T140" s="27" t="str">
        <f aca="false">IF(OR(R140="",S140=""),"",R140+(R140-S140)*Paramètres!$B$6)</f>
        <v/>
      </c>
      <c r="U140" s="29"/>
      <c r="V140" s="27" t="str">
        <f aca="false">IF(OR(R140="",S140=""),"",ABS(R140-S140))</f>
        <v/>
      </c>
      <c r="W140" s="30" t="str">
        <f aca="false">IF(OR(U140="",V140="",N(V140)=0),"",ABS(U140-R140)/V140)</f>
        <v/>
      </c>
      <c r="X140" s="31"/>
      <c r="Y140" s="29"/>
      <c r="Z140" s="32"/>
      <c r="AA140" s="33" t="str">
        <f aca="false">IF(Y140="","",IF(Y140="Stop",-1,IF(Y140="BE",0,IF(Y140="TP1 + BE",Paramètres!$B$7*Paramètres!$B$6,IF(Y140="TP1 (100 %)",Paramètres!$B$6,IF(Y140="TP2",Paramètres!$B$7*Paramètres!$B$6+(1-Paramètres!$B$7)*N(W140),IF(Y140="Sortie manuelle",N(Z140),"")))))))</f>
        <v/>
      </c>
      <c r="AB140" s="34" t="str">
        <f aca="false">IF(AA140="","",AA140*IF(X140="",Paramètres!$B$5,X140))</f>
        <v/>
      </c>
      <c r="AC140" s="35" t="str">
        <f aca="false">IF(AB140="","",Paramètres!$B$4*(1+SUM(AB$5:AB140)))</f>
        <v/>
      </c>
      <c r="AD140" s="29"/>
      <c r="AE140" s="29"/>
      <c r="AF140" s="29"/>
      <c r="AG140" s="36"/>
      <c r="AH140" s="36"/>
      <c r="AI140" s="33" t="str">
        <f aca="false">IF(AA140="","",SUM(AA$5:AA140))</f>
        <v/>
      </c>
      <c r="AJ140" s="33" t="str">
        <f aca="false">IF(AI140="","",MAX(AI140,MAX(AJ$5:AJ139),0))</f>
        <v/>
      </c>
      <c r="AK140" s="33" t="str">
        <f aca="false">IF(AI140="","",AI140-AJ140)</f>
        <v/>
      </c>
      <c r="AL140" s="25" t="str">
        <f aca="false">IF(AA140="","",IF(AA140&lt;0,N(AL139)+1,0))</f>
        <v/>
      </c>
      <c r="AM140" s="37" t="str">
        <f aca="false">IF(B140="","",B140-WEEKDAY(B140,2)+1)</f>
        <v/>
      </c>
    </row>
    <row r="141" customFormat="false" ht="15" hidden="false" customHeight="false" outlineLevel="0" collapsed="false">
      <c r="A141" s="25" t="str">
        <f aca="false">IF(B141="","",ROW()-4)</f>
        <v/>
      </c>
      <c r="B141" s="26"/>
      <c r="C141" s="27" t="str">
        <f aca="false">IF(B141="","",CHOOSE(WEEKDAY(B141,2),"Lundi","Mardi","Mercredi","Jeudi","Vendredi","Samedi","Dimanche"))</f>
        <v/>
      </c>
      <c r="D141" s="28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5" t="str">
        <f aca="false">IF(B141="","",OR(AND(H141="Achat",I141="Haussier"),AND(H141="Vente",I141="Baissier"))*1+OR(AND(H141="Achat",J141="Discount"),AND(H141="Vente",J141="Premium"))*1+AND(K141&lt;&gt;"",K141&lt;&gt;"Aucune")*1+OR(L141="CHoCH",L141="BOS")*1+(M141="Oui")*1+OR(G141="Londres",G141="New York")*1+(O141="Non")*1)</f>
        <v/>
      </c>
      <c r="Q141" s="27" t="str">
        <f aca="false">IF(P141="","",IF(P141=7,"A+",IF(P141&gt;=5,"B","C")))</f>
        <v/>
      </c>
      <c r="R141" s="29"/>
      <c r="S141" s="29"/>
      <c r="T141" s="27" t="str">
        <f aca="false">IF(OR(R141="",S141=""),"",R141+(R141-S141)*Paramètres!$B$6)</f>
        <v/>
      </c>
      <c r="U141" s="29"/>
      <c r="V141" s="27" t="str">
        <f aca="false">IF(OR(R141="",S141=""),"",ABS(R141-S141))</f>
        <v/>
      </c>
      <c r="W141" s="30" t="str">
        <f aca="false">IF(OR(U141="",V141="",N(V141)=0),"",ABS(U141-R141)/V141)</f>
        <v/>
      </c>
      <c r="X141" s="31"/>
      <c r="Y141" s="29"/>
      <c r="Z141" s="32"/>
      <c r="AA141" s="33" t="str">
        <f aca="false">IF(Y141="","",IF(Y141="Stop",-1,IF(Y141="BE",0,IF(Y141="TP1 + BE",Paramètres!$B$7*Paramètres!$B$6,IF(Y141="TP1 (100 %)",Paramètres!$B$6,IF(Y141="TP2",Paramètres!$B$7*Paramètres!$B$6+(1-Paramètres!$B$7)*N(W141),IF(Y141="Sortie manuelle",N(Z141),"")))))))</f>
        <v/>
      </c>
      <c r="AB141" s="34" t="str">
        <f aca="false">IF(AA141="","",AA141*IF(X141="",Paramètres!$B$5,X141))</f>
        <v/>
      </c>
      <c r="AC141" s="35" t="str">
        <f aca="false">IF(AB141="","",Paramètres!$B$4*(1+SUM(AB$5:AB141)))</f>
        <v/>
      </c>
      <c r="AD141" s="29"/>
      <c r="AE141" s="29"/>
      <c r="AF141" s="29"/>
      <c r="AG141" s="36"/>
      <c r="AH141" s="36"/>
      <c r="AI141" s="33" t="str">
        <f aca="false">IF(AA141="","",SUM(AA$5:AA141))</f>
        <v/>
      </c>
      <c r="AJ141" s="33" t="str">
        <f aca="false">IF(AI141="","",MAX(AI141,MAX(AJ$5:AJ140),0))</f>
        <v/>
      </c>
      <c r="AK141" s="33" t="str">
        <f aca="false">IF(AI141="","",AI141-AJ141)</f>
        <v/>
      </c>
      <c r="AL141" s="25" t="str">
        <f aca="false">IF(AA141="","",IF(AA141&lt;0,N(AL140)+1,0))</f>
        <v/>
      </c>
      <c r="AM141" s="37" t="str">
        <f aca="false">IF(B141="","",B141-WEEKDAY(B141,2)+1)</f>
        <v/>
      </c>
    </row>
    <row r="142" customFormat="false" ht="15" hidden="false" customHeight="false" outlineLevel="0" collapsed="false">
      <c r="A142" s="25" t="str">
        <f aca="false">IF(B142="","",ROW()-4)</f>
        <v/>
      </c>
      <c r="B142" s="26"/>
      <c r="C142" s="27" t="str">
        <f aca="false">IF(B142="","",CHOOSE(WEEKDAY(B142,2),"Lundi","Mardi","Mercredi","Jeudi","Vendredi","Samedi","Dimanche"))</f>
        <v/>
      </c>
      <c r="D142" s="28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5" t="str">
        <f aca="false">IF(B142="","",OR(AND(H142="Achat",I142="Haussier"),AND(H142="Vente",I142="Baissier"))*1+OR(AND(H142="Achat",J142="Discount"),AND(H142="Vente",J142="Premium"))*1+AND(K142&lt;&gt;"",K142&lt;&gt;"Aucune")*1+OR(L142="CHoCH",L142="BOS")*1+(M142="Oui")*1+OR(G142="Londres",G142="New York")*1+(O142="Non")*1)</f>
        <v/>
      </c>
      <c r="Q142" s="27" t="str">
        <f aca="false">IF(P142="","",IF(P142=7,"A+",IF(P142&gt;=5,"B","C")))</f>
        <v/>
      </c>
      <c r="R142" s="29"/>
      <c r="S142" s="29"/>
      <c r="T142" s="27" t="str">
        <f aca="false">IF(OR(R142="",S142=""),"",R142+(R142-S142)*Paramètres!$B$6)</f>
        <v/>
      </c>
      <c r="U142" s="29"/>
      <c r="V142" s="27" t="str">
        <f aca="false">IF(OR(R142="",S142=""),"",ABS(R142-S142))</f>
        <v/>
      </c>
      <c r="W142" s="30" t="str">
        <f aca="false">IF(OR(U142="",V142="",N(V142)=0),"",ABS(U142-R142)/V142)</f>
        <v/>
      </c>
      <c r="X142" s="31"/>
      <c r="Y142" s="29"/>
      <c r="Z142" s="32"/>
      <c r="AA142" s="33" t="str">
        <f aca="false">IF(Y142="","",IF(Y142="Stop",-1,IF(Y142="BE",0,IF(Y142="TP1 + BE",Paramètres!$B$7*Paramètres!$B$6,IF(Y142="TP1 (100 %)",Paramètres!$B$6,IF(Y142="TP2",Paramètres!$B$7*Paramètres!$B$6+(1-Paramètres!$B$7)*N(W142),IF(Y142="Sortie manuelle",N(Z142),"")))))))</f>
        <v/>
      </c>
      <c r="AB142" s="34" t="str">
        <f aca="false">IF(AA142="","",AA142*IF(X142="",Paramètres!$B$5,X142))</f>
        <v/>
      </c>
      <c r="AC142" s="35" t="str">
        <f aca="false">IF(AB142="","",Paramètres!$B$4*(1+SUM(AB$5:AB142)))</f>
        <v/>
      </c>
      <c r="AD142" s="29"/>
      <c r="AE142" s="29"/>
      <c r="AF142" s="29"/>
      <c r="AG142" s="36"/>
      <c r="AH142" s="36"/>
      <c r="AI142" s="33" t="str">
        <f aca="false">IF(AA142="","",SUM(AA$5:AA142))</f>
        <v/>
      </c>
      <c r="AJ142" s="33" t="str">
        <f aca="false">IF(AI142="","",MAX(AI142,MAX(AJ$5:AJ141),0))</f>
        <v/>
      </c>
      <c r="AK142" s="33" t="str">
        <f aca="false">IF(AI142="","",AI142-AJ142)</f>
        <v/>
      </c>
      <c r="AL142" s="25" t="str">
        <f aca="false">IF(AA142="","",IF(AA142&lt;0,N(AL141)+1,0))</f>
        <v/>
      </c>
      <c r="AM142" s="37" t="str">
        <f aca="false">IF(B142="","",B142-WEEKDAY(B142,2)+1)</f>
        <v/>
      </c>
    </row>
    <row r="143" customFormat="false" ht="15" hidden="false" customHeight="false" outlineLevel="0" collapsed="false">
      <c r="A143" s="25" t="str">
        <f aca="false">IF(B143="","",ROW()-4)</f>
        <v/>
      </c>
      <c r="B143" s="26"/>
      <c r="C143" s="27" t="str">
        <f aca="false">IF(B143="","",CHOOSE(WEEKDAY(B143,2),"Lundi","Mardi","Mercredi","Jeudi","Vendredi","Samedi","Dimanche"))</f>
        <v/>
      </c>
      <c r="D143" s="28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5" t="str">
        <f aca="false">IF(B143="","",OR(AND(H143="Achat",I143="Haussier"),AND(H143="Vente",I143="Baissier"))*1+OR(AND(H143="Achat",J143="Discount"),AND(H143="Vente",J143="Premium"))*1+AND(K143&lt;&gt;"",K143&lt;&gt;"Aucune")*1+OR(L143="CHoCH",L143="BOS")*1+(M143="Oui")*1+OR(G143="Londres",G143="New York")*1+(O143="Non")*1)</f>
        <v/>
      </c>
      <c r="Q143" s="27" t="str">
        <f aca="false">IF(P143="","",IF(P143=7,"A+",IF(P143&gt;=5,"B","C")))</f>
        <v/>
      </c>
      <c r="R143" s="29"/>
      <c r="S143" s="29"/>
      <c r="T143" s="27" t="str">
        <f aca="false">IF(OR(R143="",S143=""),"",R143+(R143-S143)*Paramètres!$B$6)</f>
        <v/>
      </c>
      <c r="U143" s="29"/>
      <c r="V143" s="27" t="str">
        <f aca="false">IF(OR(R143="",S143=""),"",ABS(R143-S143))</f>
        <v/>
      </c>
      <c r="W143" s="30" t="str">
        <f aca="false">IF(OR(U143="",V143="",N(V143)=0),"",ABS(U143-R143)/V143)</f>
        <v/>
      </c>
      <c r="X143" s="31"/>
      <c r="Y143" s="29"/>
      <c r="Z143" s="32"/>
      <c r="AA143" s="33" t="str">
        <f aca="false">IF(Y143="","",IF(Y143="Stop",-1,IF(Y143="BE",0,IF(Y143="TP1 + BE",Paramètres!$B$7*Paramètres!$B$6,IF(Y143="TP1 (100 %)",Paramètres!$B$6,IF(Y143="TP2",Paramètres!$B$7*Paramètres!$B$6+(1-Paramètres!$B$7)*N(W143),IF(Y143="Sortie manuelle",N(Z143),"")))))))</f>
        <v/>
      </c>
      <c r="AB143" s="34" t="str">
        <f aca="false">IF(AA143="","",AA143*IF(X143="",Paramètres!$B$5,X143))</f>
        <v/>
      </c>
      <c r="AC143" s="35" t="str">
        <f aca="false">IF(AB143="","",Paramètres!$B$4*(1+SUM(AB$5:AB143)))</f>
        <v/>
      </c>
      <c r="AD143" s="29"/>
      <c r="AE143" s="29"/>
      <c r="AF143" s="29"/>
      <c r="AG143" s="36"/>
      <c r="AH143" s="36"/>
      <c r="AI143" s="33" t="str">
        <f aca="false">IF(AA143="","",SUM(AA$5:AA143))</f>
        <v/>
      </c>
      <c r="AJ143" s="33" t="str">
        <f aca="false">IF(AI143="","",MAX(AI143,MAX(AJ$5:AJ142),0))</f>
        <v/>
      </c>
      <c r="AK143" s="33" t="str">
        <f aca="false">IF(AI143="","",AI143-AJ143)</f>
        <v/>
      </c>
      <c r="AL143" s="25" t="str">
        <f aca="false">IF(AA143="","",IF(AA143&lt;0,N(AL142)+1,0))</f>
        <v/>
      </c>
      <c r="AM143" s="37" t="str">
        <f aca="false">IF(B143="","",B143-WEEKDAY(B143,2)+1)</f>
        <v/>
      </c>
    </row>
    <row r="144" customFormat="false" ht="15" hidden="false" customHeight="false" outlineLevel="0" collapsed="false">
      <c r="A144" s="25" t="str">
        <f aca="false">IF(B144="","",ROW()-4)</f>
        <v/>
      </c>
      <c r="B144" s="26"/>
      <c r="C144" s="27" t="str">
        <f aca="false">IF(B144="","",CHOOSE(WEEKDAY(B144,2),"Lundi","Mardi","Mercredi","Jeudi","Vendredi","Samedi","Dimanche"))</f>
        <v/>
      </c>
      <c r="D144" s="28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5" t="str">
        <f aca="false">IF(B144="","",OR(AND(H144="Achat",I144="Haussier"),AND(H144="Vente",I144="Baissier"))*1+OR(AND(H144="Achat",J144="Discount"),AND(H144="Vente",J144="Premium"))*1+AND(K144&lt;&gt;"",K144&lt;&gt;"Aucune")*1+OR(L144="CHoCH",L144="BOS")*1+(M144="Oui")*1+OR(G144="Londres",G144="New York")*1+(O144="Non")*1)</f>
        <v/>
      </c>
      <c r="Q144" s="27" t="str">
        <f aca="false">IF(P144="","",IF(P144=7,"A+",IF(P144&gt;=5,"B","C")))</f>
        <v/>
      </c>
      <c r="R144" s="29"/>
      <c r="S144" s="29"/>
      <c r="T144" s="27" t="str">
        <f aca="false">IF(OR(R144="",S144=""),"",R144+(R144-S144)*Paramètres!$B$6)</f>
        <v/>
      </c>
      <c r="U144" s="29"/>
      <c r="V144" s="27" t="str">
        <f aca="false">IF(OR(R144="",S144=""),"",ABS(R144-S144))</f>
        <v/>
      </c>
      <c r="W144" s="30" t="str">
        <f aca="false">IF(OR(U144="",V144="",N(V144)=0),"",ABS(U144-R144)/V144)</f>
        <v/>
      </c>
      <c r="X144" s="31"/>
      <c r="Y144" s="29"/>
      <c r="Z144" s="32"/>
      <c r="AA144" s="33" t="str">
        <f aca="false">IF(Y144="","",IF(Y144="Stop",-1,IF(Y144="BE",0,IF(Y144="TP1 + BE",Paramètres!$B$7*Paramètres!$B$6,IF(Y144="TP1 (100 %)",Paramètres!$B$6,IF(Y144="TP2",Paramètres!$B$7*Paramètres!$B$6+(1-Paramètres!$B$7)*N(W144),IF(Y144="Sortie manuelle",N(Z144),"")))))))</f>
        <v/>
      </c>
      <c r="AB144" s="34" t="str">
        <f aca="false">IF(AA144="","",AA144*IF(X144="",Paramètres!$B$5,X144))</f>
        <v/>
      </c>
      <c r="AC144" s="35" t="str">
        <f aca="false">IF(AB144="","",Paramètres!$B$4*(1+SUM(AB$5:AB144)))</f>
        <v/>
      </c>
      <c r="AD144" s="29"/>
      <c r="AE144" s="29"/>
      <c r="AF144" s="29"/>
      <c r="AG144" s="36"/>
      <c r="AH144" s="36"/>
      <c r="AI144" s="33" t="str">
        <f aca="false">IF(AA144="","",SUM(AA$5:AA144))</f>
        <v/>
      </c>
      <c r="AJ144" s="33" t="str">
        <f aca="false">IF(AI144="","",MAX(AI144,MAX(AJ$5:AJ143),0))</f>
        <v/>
      </c>
      <c r="AK144" s="33" t="str">
        <f aca="false">IF(AI144="","",AI144-AJ144)</f>
        <v/>
      </c>
      <c r="AL144" s="25" t="str">
        <f aca="false">IF(AA144="","",IF(AA144&lt;0,N(AL143)+1,0))</f>
        <v/>
      </c>
      <c r="AM144" s="37" t="str">
        <f aca="false">IF(B144="","",B144-WEEKDAY(B144,2)+1)</f>
        <v/>
      </c>
    </row>
    <row r="145" customFormat="false" ht="15" hidden="false" customHeight="false" outlineLevel="0" collapsed="false">
      <c r="A145" s="25" t="str">
        <f aca="false">IF(B145="","",ROW()-4)</f>
        <v/>
      </c>
      <c r="B145" s="26"/>
      <c r="C145" s="27" t="str">
        <f aca="false">IF(B145="","",CHOOSE(WEEKDAY(B145,2),"Lundi","Mardi","Mercredi","Jeudi","Vendredi","Samedi","Dimanche"))</f>
        <v/>
      </c>
      <c r="D145" s="28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5" t="str">
        <f aca="false">IF(B145="","",OR(AND(H145="Achat",I145="Haussier"),AND(H145="Vente",I145="Baissier"))*1+OR(AND(H145="Achat",J145="Discount"),AND(H145="Vente",J145="Premium"))*1+AND(K145&lt;&gt;"",K145&lt;&gt;"Aucune")*1+OR(L145="CHoCH",L145="BOS")*1+(M145="Oui")*1+OR(G145="Londres",G145="New York")*1+(O145="Non")*1)</f>
        <v/>
      </c>
      <c r="Q145" s="27" t="str">
        <f aca="false">IF(P145="","",IF(P145=7,"A+",IF(P145&gt;=5,"B","C")))</f>
        <v/>
      </c>
      <c r="R145" s="29"/>
      <c r="S145" s="29"/>
      <c r="T145" s="27" t="str">
        <f aca="false">IF(OR(R145="",S145=""),"",R145+(R145-S145)*Paramètres!$B$6)</f>
        <v/>
      </c>
      <c r="U145" s="29"/>
      <c r="V145" s="27" t="str">
        <f aca="false">IF(OR(R145="",S145=""),"",ABS(R145-S145))</f>
        <v/>
      </c>
      <c r="W145" s="30" t="str">
        <f aca="false">IF(OR(U145="",V145="",N(V145)=0),"",ABS(U145-R145)/V145)</f>
        <v/>
      </c>
      <c r="X145" s="31"/>
      <c r="Y145" s="29"/>
      <c r="Z145" s="32"/>
      <c r="AA145" s="33" t="str">
        <f aca="false">IF(Y145="","",IF(Y145="Stop",-1,IF(Y145="BE",0,IF(Y145="TP1 + BE",Paramètres!$B$7*Paramètres!$B$6,IF(Y145="TP1 (100 %)",Paramètres!$B$6,IF(Y145="TP2",Paramètres!$B$7*Paramètres!$B$6+(1-Paramètres!$B$7)*N(W145),IF(Y145="Sortie manuelle",N(Z145),"")))))))</f>
        <v/>
      </c>
      <c r="AB145" s="34" t="str">
        <f aca="false">IF(AA145="","",AA145*IF(X145="",Paramètres!$B$5,X145))</f>
        <v/>
      </c>
      <c r="AC145" s="35" t="str">
        <f aca="false">IF(AB145="","",Paramètres!$B$4*(1+SUM(AB$5:AB145)))</f>
        <v/>
      </c>
      <c r="AD145" s="29"/>
      <c r="AE145" s="29"/>
      <c r="AF145" s="29"/>
      <c r="AG145" s="36"/>
      <c r="AH145" s="36"/>
      <c r="AI145" s="33" t="str">
        <f aca="false">IF(AA145="","",SUM(AA$5:AA145))</f>
        <v/>
      </c>
      <c r="AJ145" s="33" t="str">
        <f aca="false">IF(AI145="","",MAX(AI145,MAX(AJ$5:AJ144),0))</f>
        <v/>
      </c>
      <c r="AK145" s="33" t="str">
        <f aca="false">IF(AI145="","",AI145-AJ145)</f>
        <v/>
      </c>
      <c r="AL145" s="25" t="str">
        <f aca="false">IF(AA145="","",IF(AA145&lt;0,N(AL144)+1,0))</f>
        <v/>
      </c>
      <c r="AM145" s="37" t="str">
        <f aca="false">IF(B145="","",B145-WEEKDAY(B145,2)+1)</f>
        <v/>
      </c>
    </row>
    <row r="146" customFormat="false" ht="15" hidden="false" customHeight="false" outlineLevel="0" collapsed="false">
      <c r="A146" s="25" t="str">
        <f aca="false">IF(B146="","",ROW()-4)</f>
        <v/>
      </c>
      <c r="B146" s="26"/>
      <c r="C146" s="27" t="str">
        <f aca="false">IF(B146="","",CHOOSE(WEEKDAY(B146,2),"Lundi","Mardi","Mercredi","Jeudi","Vendredi","Samedi","Dimanche"))</f>
        <v/>
      </c>
      <c r="D146" s="28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5" t="str">
        <f aca="false">IF(B146="","",OR(AND(H146="Achat",I146="Haussier"),AND(H146="Vente",I146="Baissier"))*1+OR(AND(H146="Achat",J146="Discount"),AND(H146="Vente",J146="Premium"))*1+AND(K146&lt;&gt;"",K146&lt;&gt;"Aucune")*1+OR(L146="CHoCH",L146="BOS")*1+(M146="Oui")*1+OR(G146="Londres",G146="New York")*1+(O146="Non")*1)</f>
        <v/>
      </c>
      <c r="Q146" s="27" t="str">
        <f aca="false">IF(P146="","",IF(P146=7,"A+",IF(P146&gt;=5,"B","C")))</f>
        <v/>
      </c>
      <c r="R146" s="29"/>
      <c r="S146" s="29"/>
      <c r="T146" s="27" t="str">
        <f aca="false">IF(OR(R146="",S146=""),"",R146+(R146-S146)*Paramètres!$B$6)</f>
        <v/>
      </c>
      <c r="U146" s="29"/>
      <c r="V146" s="27" t="str">
        <f aca="false">IF(OR(R146="",S146=""),"",ABS(R146-S146))</f>
        <v/>
      </c>
      <c r="W146" s="30" t="str">
        <f aca="false">IF(OR(U146="",V146="",N(V146)=0),"",ABS(U146-R146)/V146)</f>
        <v/>
      </c>
      <c r="X146" s="31"/>
      <c r="Y146" s="29"/>
      <c r="Z146" s="32"/>
      <c r="AA146" s="33" t="str">
        <f aca="false">IF(Y146="","",IF(Y146="Stop",-1,IF(Y146="BE",0,IF(Y146="TP1 + BE",Paramètres!$B$7*Paramètres!$B$6,IF(Y146="TP1 (100 %)",Paramètres!$B$6,IF(Y146="TP2",Paramètres!$B$7*Paramètres!$B$6+(1-Paramètres!$B$7)*N(W146),IF(Y146="Sortie manuelle",N(Z146),"")))))))</f>
        <v/>
      </c>
      <c r="AB146" s="34" t="str">
        <f aca="false">IF(AA146="","",AA146*IF(X146="",Paramètres!$B$5,X146))</f>
        <v/>
      </c>
      <c r="AC146" s="35" t="str">
        <f aca="false">IF(AB146="","",Paramètres!$B$4*(1+SUM(AB$5:AB146)))</f>
        <v/>
      </c>
      <c r="AD146" s="29"/>
      <c r="AE146" s="29"/>
      <c r="AF146" s="29"/>
      <c r="AG146" s="36"/>
      <c r="AH146" s="36"/>
      <c r="AI146" s="33" t="str">
        <f aca="false">IF(AA146="","",SUM(AA$5:AA146))</f>
        <v/>
      </c>
      <c r="AJ146" s="33" t="str">
        <f aca="false">IF(AI146="","",MAX(AI146,MAX(AJ$5:AJ145),0))</f>
        <v/>
      </c>
      <c r="AK146" s="33" t="str">
        <f aca="false">IF(AI146="","",AI146-AJ146)</f>
        <v/>
      </c>
      <c r="AL146" s="25" t="str">
        <f aca="false">IF(AA146="","",IF(AA146&lt;0,N(AL145)+1,0))</f>
        <v/>
      </c>
      <c r="AM146" s="37" t="str">
        <f aca="false">IF(B146="","",B146-WEEKDAY(B146,2)+1)</f>
        <v/>
      </c>
    </row>
    <row r="147" customFormat="false" ht="15" hidden="false" customHeight="false" outlineLevel="0" collapsed="false">
      <c r="A147" s="25" t="str">
        <f aca="false">IF(B147="","",ROW()-4)</f>
        <v/>
      </c>
      <c r="B147" s="26"/>
      <c r="C147" s="27" t="str">
        <f aca="false">IF(B147="","",CHOOSE(WEEKDAY(B147,2),"Lundi","Mardi","Mercredi","Jeudi","Vendredi","Samedi","Dimanche"))</f>
        <v/>
      </c>
      <c r="D147" s="28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5" t="str">
        <f aca="false">IF(B147="","",OR(AND(H147="Achat",I147="Haussier"),AND(H147="Vente",I147="Baissier"))*1+OR(AND(H147="Achat",J147="Discount"),AND(H147="Vente",J147="Premium"))*1+AND(K147&lt;&gt;"",K147&lt;&gt;"Aucune")*1+OR(L147="CHoCH",L147="BOS")*1+(M147="Oui")*1+OR(G147="Londres",G147="New York")*1+(O147="Non")*1)</f>
        <v/>
      </c>
      <c r="Q147" s="27" t="str">
        <f aca="false">IF(P147="","",IF(P147=7,"A+",IF(P147&gt;=5,"B","C")))</f>
        <v/>
      </c>
      <c r="R147" s="29"/>
      <c r="S147" s="29"/>
      <c r="T147" s="27" t="str">
        <f aca="false">IF(OR(R147="",S147=""),"",R147+(R147-S147)*Paramètres!$B$6)</f>
        <v/>
      </c>
      <c r="U147" s="29"/>
      <c r="V147" s="27" t="str">
        <f aca="false">IF(OR(R147="",S147=""),"",ABS(R147-S147))</f>
        <v/>
      </c>
      <c r="W147" s="30" t="str">
        <f aca="false">IF(OR(U147="",V147="",N(V147)=0),"",ABS(U147-R147)/V147)</f>
        <v/>
      </c>
      <c r="X147" s="31"/>
      <c r="Y147" s="29"/>
      <c r="Z147" s="32"/>
      <c r="AA147" s="33" t="str">
        <f aca="false">IF(Y147="","",IF(Y147="Stop",-1,IF(Y147="BE",0,IF(Y147="TP1 + BE",Paramètres!$B$7*Paramètres!$B$6,IF(Y147="TP1 (100 %)",Paramètres!$B$6,IF(Y147="TP2",Paramètres!$B$7*Paramètres!$B$6+(1-Paramètres!$B$7)*N(W147),IF(Y147="Sortie manuelle",N(Z147),"")))))))</f>
        <v/>
      </c>
      <c r="AB147" s="34" t="str">
        <f aca="false">IF(AA147="","",AA147*IF(X147="",Paramètres!$B$5,X147))</f>
        <v/>
      </c>
      <c r="AC147" s="35" t="str">
        <f aca="false">IF(AB147="","",Paramètres!$B$4*(1+SUM(AB$5:AB147)))</f>
        <v/>
      </c>
      <c r="AD147" s="29"/>
      <c r="AE147" s="29"/>
      <c r="AF147" s="29"/>
      <c r="AG147" s="36"/>
      <c r="AH147" s="36"/>
      <c r="AI147" s="33" t="str">
        <f aca="false">IF(AA147="","",SUM(AA$5:AA147))</f>
        <v/>
      </c>
      <c r="AJ147" s="33" t="str">
        <f aca="false">IF(AI147="","",MAX(AI147,MAX(AJ$5:AJ146),0))</f>
        <v/>
      </c>
      <c r="AK147" s="33" t="str">
        <f aca="false">IF(AI147="","",AI147-AJ147)</f>
        <v/>
      </c>
      <c r="AL147" s="25" t="str">
        <f aca="false">IF(AA147="","",IF(AA147&lt;0,N(AL146)+1,0))</f>
        <v/>
      </c>
      <c r="AM147" s="37" t="str">
        <f aca="false">IF(B147="","",B147-WEEKDAY(B147,2)+1)</f>
        <v/>
      </c>
    </row>
    <row r="148" customFormat="false" ht="15" hidden="false" customHeight="false" outlineLevel="0" collapsed="false">
      <c r="A148" s="25" t="str">
        <f aca="false">IF(B148="","",ROW()-4)</f>
        <v/>
      </c>
      <c r="B148" s="26"/>
      <c r="C148" s="27" t="str">
        <f aca="false">IF(B148="","",CHOOSE(WEEKDAY(B148,2),"Lundi","Mardi","Mercredi","Jeudi","Vendredi","Samedi","Dimanche"))</f>
        <v/>
      </c>
      <c r="D148" s="28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5" t="str">
        <f aca="false">IF(B148="","",OR(AND(H148="Achat",I148="Haussier"),AND(H148="Vente",I148="Baissier"))*1+OR(AND(H148="Achat",J148="Discount"),AND(H148="Vente",J148="Premium"))*1+AND(K148&lt;&gt;"",K148&lt;&gt;"Aucune")*1+OR(L148="CHoCH",L148="BOS")*1+(M148="Oui")*1+OR(G148="Londres",G148="New York")*1+(O148="Non")*1)</f>
        <v/>
      </c>
      <c r="Q148" s="27" t="str">
        <f aca="false">IF(P148="","",IF(P148=7,"A+",IF(P148&gt;=5,"B","C")))</f>
        <v/>
      </c>
      <c r="R148" s="29"/>
      <c r="S148" s="29"/>
      <c r="T148" s="27" t="str">
        <f aca="false">IF(OR(R148="",S148=""),"",R148+(R148-S148)*Paramètres!$B$6)</f>
        <v/>
      </c>
      <c r="U148" s="29"/>
      <c r="V148" s="27" t="str">
        <f aca="false">IF(OR(R148="",S148=""),"",ABS(R148-S148))</f>
        <v/>
      </c>
      <c r="W148" s="30" t="str">
        <f aca="false">IF(OR(U148="",V148="",N(V148)=0),"",ABS(U148-R148)/V148)</f>
        <v/>
      </c>
      <c r="X148" s="31"/>
      <c r="Y148" s="29"/>
      <c r="Z148" s="32"/>
      <c r="AA148" s="33" t="str">
        <f aca="false">IF(Y148="","",IF(Y148="Stop",-1,IF(Y148="BE",0,IF(Y148="TP1 + BE",Paramètres!$B$7*Paramètres!$B$6,IF(Y148="TP1 (100 %)",Paramètres!$B$6,IF(Y148="TP2",Paramètres!$B$7*Paramètres!$B$6+(1-Paramètres!$B$7)*N(W148),IF(Y148="Sortie manuelle",N(Z148),"")))))))</f>
        <v/>
      </c>
      <c r="AB148" s="34" t="str">
        <f aca="false">IF(AA148="","",AA148*IF(X148="",Paramètres!$B$5,X148))</f>
        <v/>
      </c>
      <c r="AC148" s="35" t="str">
        <f aca="false">IF(AB148="","",Paramètres!$B$4*(1+SUM(AB$5:AB148)))</f>
        <v/>
      </c>
      <c r="AD148" s="29"/>
      <c r="AE148" s="29"/>
      <c r="AF148" s="29"/>
      <c r="AG148" s="36"/>
      <c r="AH148" s="36"/>
      <c r="AI148" s="33" t="str">
        <f aca="false">IF(AA148="","",SUM(AA$5:AA148))</f>
        <v/>
      </c>
      <c r="AJ148" s="33" t="str">
        <f aca="false">IF(AI148="","",MAX(AI148,MAX(AJ$5:AJ147),0))</f>
        <v/>
      </c>
      <c r="AK148" s="33" t="str">
        <f aca="false">IF(AI148="","",AI148-AJ148)</f>
        <v/>
      </c>
      <c r="AL148" s="25" t="str">
        <f aca="false">IF(AA148="","",IF(AA148&lt;0,N(AL147)+1,0))</f>
        <v/>
      </c>
      <c r="AM148" s="37" t="str">
        <f aca="false">IF(B148="","",B148-WEEKDAY(B148,2)+1)</f>
        <v/>
      </c>
    </row>
    <row r="149" customFormat="false" ht="15" hidden="false" customHeight="false" outlineLevel="0" collapsed="false">
      <c r="A149" s="25" t="str">
        <f aca="false">IF(B149="","",ROW()-4)</f>
        <v/>
      </c>
      <c r="B149" s="26"/>
      <c r="C149" s="27" t="str">
        <f aca="false">IF(B149="","",CHOOSE(WEEKDAY(B149,2),"Lundi","Mardi","Mercredi","Jeudi","Vendredi","Samedi","Dimanche"))</f>
        <v/>
      </c>
      <c r="D149" s="28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5" t="str">
        <f aca="false">IF(B149="","",OR(AND(H149="Achat",I149="Haussier"),AND(H149="Vente",I149="Baissier"))*1+OR(AND(H149="Achat",J149="Discount"),AND(H149="Vente",J149="Premium"))*1+AND(K149&lt;&gt;"",K149&lt;&gt;"Aucune")*1+OR(L149="CHoCH",L149="BOS")*1+(M149="Oui")*1+OR(G149="Londres",G149="New York")*1+(O149="Non")*1)</f>
        <v/>
      </c>
      <c r="Q149" s="27" t="str">
        <f aca="false">IF(P149="","",IF(P149=7,"A+",IF(P149&gt;=5,"B","C")))</f>
        <v/>
      </c>
      <c r="R149" s="29"/>
      <c r="S149" s="29"/>
      <c r="T149" s="27" t="str">
        <f aca="false">IF(OR(R149="",S149=""),"",R149+(R149-S149)*Paramètres!$B$6)</f>
        <v/>
      </c>
      <c r="U149" s="29"/>
      <c r="V149" s="27" t="str">
        <f aca="false">IF(OR(R149="",S149=""),"",ABS(R149-S149))</f>
        <v/>
      </c>
      <c r="W149" s="30" t="str">
        <f aca="false">IF(OR(U149="",V149="",N(V149)=0),"",ABS(U149-R149)/V149)</f>
        <v/>
      </c>
      <c r="X149" s="31"/>
      <c r="Y149" s="29"/>
      <c r="Z149" s="32"/>
      <c r="AA149" s="33" t="str">
        <f aca="false">IF(Y149="","",IF(Y149="Stop",-1,IF(Y149="BE",0,IF(Y149="TP1 + BE",Paramètres!$B$7*Paramètres!$B$6,IF(Y149="TP1 (100 %)",Paramètres!$B$6,IF(Y149="TP2",Paramètres!$B$7*Paramètres!$B$6+(1-Paramètres!$B$7)*N(W149),IF(Y149="Sortie manuelle",N(Z149),"")))))))</f>
        <v/>
      </c>
      <c r="AB149" s="34" t="str">
        <f aca="false">IF(AA149="","",AA149*IF(X149="",Paramètres!$B$5,X149))</f>
        <v/>
      </c>
      <c r="AC149" s="35" t="str">
        <f aca="false">IF(AB149="","",Paramètres!$B$4*(1+SUM(AB$5:AB149)))</f>
        <v/>
      </c>
      <c r="AD149" s="29"/>
      <c r="AE149" s="29"/>
      <c r="AF149" s="29"/>
      <c r="AG149" s="36"/>
      <c r="AH149" s="36"/>
      <c r="AI149" s="33" t="str">
        <f aca="false">IF(AA149="","",SUM(AA$5:AA149))</f>
        <v/>
      </c>
      <c r="AJ149" s="33" t="str">
        <f aca="false">IF(AI149="","",MAX(AI149,MAX(AJ$5:AJ148),0))</f>
        <v/>
      </c>
      <c r="AK149" s="33" t="str">
        <f aca="false">IF(AI149="","",AI149-AJ149)</f>
        <v/>
      </c>
      <c r="AL149" s="25" t="str">
        <f aca="false">IF(AA149="","",IF(AA149&lt;0,N(AL148)+1,0))</f>
        <v/>
      </c>
      <c r="AM149" s="37" t="str">
        <f aca="false">IF(B149="","",B149-WEEKDAY(B149,2)+1)</f>
        <v/>
      </c>
    </row>
    <row r="150" customFormat="false" ht="15" hidden="false" customHeight="false" outlineLevel="0" collapsed="false">
      <c r="A150" s="25" t="str">
        <f aca="false">IF(B150="","",ROW()-4)</f>
        <v/>
      </c>
      <c r="B150" s="26"/>
      <c r="C150" s="27" t="str">
        <f aca="false">IF(B150="","",CHOOSE(WEEKDAY(B150,2),"Lundi","Mardi","Mercredi","Jeudi","Vendredi","Samedi","Dimanche"))</f>
        <v/>
      </c>
      <c r="D150" s="28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5" t="str">
        <f aca="false">IF(B150="","",OR(AND(H150="Achat",I150="Haussier"),AND(H150="Vente",I150="Baissier"))*1+OR(AND(H150="Achat",J150="Discount"),AND(H150="Vente",J150="Premium"))*1+AND(K150&lt;&gt;"",K150&lt;&gt;"Aucune")*1+OR(L150="CHoCH",L150="BOS")*1+(M150="Oui")*1+OR(G150="Londres",G150="New York")*1+(O150="Non")*1)</f>
        <v/>
      </c>
      <c r="Q150" s="27" t="str">
        <f aca="false">IF(P150="","",IF(P150=7,"A+",IF(P150&gt;=5,"B","C")))</f>
        <v/>
      </c>
      <c r="R150" s="29"/>
      <c r="S150" s="29"/>
      <c r="T150" s="27" t="str">
        <f aca="false">IF(OR(R150="",S150=""),"",R150+(R150-S150)*Paramètres!$B$6)</f>
        <v/>
      </c>
      <c r="U150" s="29"/>
      <c r="V150" s="27" t="str">
        <f aca="false">IF(OR(R150="",S150=""),"",ABS(R150-S150))</f>
        <v/>
      </c>
      <c r="W150" s="30" t="str">
        <f aca="false">IF(OR(U150="",V150="",N(V150)=0),"",ABS(U150-R150)/V150)</f>
        <v/>
      </c>
      <c r="X150" s="31"/>
      <c r="Y150" s="29"/>
      <c r="Z150" s="32"/>
      <c r="AA150" s="33" t="str">
        <f aca="false">IF(Y150="","",IF(Y150="Stop",-1,IF(Y150="BE",0,IF(Y150="TP1 + BE",Paramètres!$B$7*Paramètres!$B$6,IF(Y150="TP1 (100 %)",Paramètres!$B$6,IF(Y150="TP2",Paramètres!$B$7*Paramètres!$B$6+(1-Paramètres!$B$7)*N(W150),IF(Y150="Sortie manuelle",N(Z150),"")))))))</f>
        <v/>
      </c>
      <c r="AB150" s="34" t="str">
        <f aca="false">IF(AA150="","",AA150*IF(X150="",Paramètres!$B$5,X150))</f>
        <v/>
      </c>
      <c r="AC150" s="35" t="str">
        <f aca="false">IF(AB150="","",Paramètres!$B$4*(1+SUM(AB$5:AB150)))</f>
        <v/>
      </c>
      <c r="AD150" s="29"/>
      <c r="AE150" s="29"/>
      <c r="AF150" s="29"/>
      <c r="AG150" s="36"/>
      <c r="AH150" s="36"/>
      <c r="AI150" s="33" t="str">
        <f aca="false">IF(AA150="","",SUM(AA$5:AA150))</f>
        <v/>
      </c>
      <c r="AJ150" s="33" t="str">
        <f aca="false">IF(AI150="","",MAX(AI150,MAX(AJ$5:AJ149),0))</f>
        <v/>
      </c>
      <c r="AK150" s="33" t="str">
        <f aca="false">IF(AI150="","",AI150-AJ150)</f>
        <v/>
      </c>
      <c r="AL150" s="25" t="str">
        <f aca="false">IF(AA150="","",IF(AA150&lt;0,N(AL149)+1,0))</f>
        <v/>
      </c>
      <c r="AM150" s="37" t="str">
        <f aca="false">IF(B150="","",B150-WEEKDAY(B150,2)+1)</f>
        <v/>
      </c>
    </row>
    <row r="151" customFormat="false" ht="15" hidden="false" customHeight="false" outlineLevel="0" collapsed="false">
      <c r="A151" s="25" t="str">
        <f aca="false">IF(B151="","",ROW()-4)</f>
        <v/>
      </c>
      <c r="B151" s="26"/>
      <c r="C151" s="27" t="str">
        <f aca="false">IF(B151="","",CHOOSE(WEEKDAY(B151,2),"Lundi","Mardi","Mercredi","Jeudi","Vendredi","Samedi","Dimanche"))</f>
        <v/>
      </c>
      <c r="D151" s="28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5" t="str">
        <f aca="false">IF(B151="","",OR(AND(H151="Achat",I151="Haussier"),AND(H151="Vente",I151="Baissier"))*1+OR(AND(H151="Achat",J151="Discount"),AND(H151="Vente",J151="Premium"))*1+AND(K151&lt;&gt;"",K151&lt;&gt;"Aucune")*1+OR(L151="CHoCH",L151="BOS")*1+(M151="Oui")*1+OR(G151="Londres",G151="New York")*1+(O151="Non")*1)</f>
        <v/>
      </c>
      <c r="Q151" s="27" t="str">
        <f aca="false">IF(P151="","",IF(P151=7,"A+",IF(P151&gt;=5,"B","C")))</f>
        <v/>
      </c>
      <c r="R151" s="29"/>
      <c r="S151" s="29"/>
      <c r="T151" s="27" t="str">
        <f aca="false">IF(OR(R151="",S151=""),"",R151+(R151-S151)*Paramètres!$B$6)</f>
        <v/>
      </c>
      <c r="U151" s="29"/>
      <c r="V151" s="27" t="str">
        <f aca="false">IF(OR(R151="",S151=""),"",ABS(R151-S151))</f>
        <v/>
      </c>
      <c r="W151" s="30" t="str">
        <f aca="false">IF(OR(U151="",V151="",N(V151)=0),"",ABS(U151-R151)/V151)</f>
        <v/>
      </c>
      <c r="X151" s="31"/>
      <c r="Y151" s="29"/>
      <c r="Z151" s="32"/>
      <c r="AA151" s="33" t="str">
        <f aca="false">IF(Y151="","",IF(Y151="Stop",-1,IF(Y151="BE",0,IF(Y151="TP1 + BE",Paramètres!$B$7*Paramètres!$B$6,IF(Y151="TP1 (100 %)",Paramètres!$B$6,IF(Y151="TP2",Paramètres!$B$7*Paramètres!$B$6+(1-Paramètres!$B$7)*N(W151),IF(Y151="Sortie manuelle",N(Z151),"")))))))</f>
        <v/>
      </c>
      <c r="AB151" s="34" t="str">
        <f aca="false">IF(AA151="","",AA151*IF(X151="",Paramètres!$B$5,X151))</f>
        <v/>
      </c>
      <c r="AC151" s="35" t="str">
        <f aca="false">IF(AB151="","",Paramètres!$B$4*(1+SUM(AB$5:AB151)))</f>
        <v/>
      </c>
      <c r="AD151" s="29"/>
      <c r="AE151" s="29"/>
      <c r="AF151" s="29"/>
      <c r="AG151" s="36"/>
      <c r="AH151" s="36"/>
      <c r="AI151" s="33" t="str">
        <f aca="false">IF(AA151="","",SUM(AA$5:AA151))</f>
        <v/>
      </c>
      <c r="AJ151" s="33" t="str">
        <f aca="false">IF(AI151="","",MAX(AI151,MAX(AJ$5:AJ150),0))</f>
        <v/>
      </c>
      <c r="AK151" s="33" t="str">
        <f aca="false">IF(AI151="","",AI151-AJ151)</f>
        <v/>
      </c>
      <c r="AL151" s="25" t="str">
        <f aca="false">IF(AA151="","",IF(AA151&lt;0,N(AL150)+1,0))</f>
        <v/>
      </c>
      <c r="AM151" s="37" t="str">
        <f aca="false">IF(B151="","",B151-WEEKDAY(B151,2)+1)</f>
        <v/>
      </c>
    </row>
    <row r="152" customFormat="false" ht="15" hidden="false" customHeight="false" outlineLevel="0" collapsed="false">
      <c r="A152" s="25" t="str">
        <f aca="false">IF(B152="","",ROW()-4)</f>
        <v/>
      </c>
      <c r="B152" s="26"/>
      <c r="C152" s="27" t="str">
        <f aca="false">IF(B152="","",CHOOSE(WEEKDAY(B152,2),"Lundi","Mardi","Mercredi","Jeudi","Vendredi","Samedi","Dimanche"))</f>
        <v/>
      </c>
      <c r="D152" s="28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5" t="str">
        <f aca="false">IF(B152="","",OR(AND(H152="Achat",I152="Haussier"),AND(H152="Vente",I152="Baissier"))*1+OR(AND(H152="Achat",J152="Discount"),AND(H152="Vente",J152="Premium"))*1+AND(K152&lt;&gt;"",K152&lt;&gt;"Aucune")*1+OR(L152="CHoCH",L152="BOS")*1+(M152="Oui")*1+OR(G152="Londres",G152="New York")*1+(O152="Non")*1)</f>
        <v/>
      </c>
      <c r="Q152" s="27" t="str">
        <f aca="false">IF(P152="","",IF(P152=7,"A+",IF(P152&gt;=5,"B","C")))</f>
        <v/>
      </c>
      <c r="R152" s="29"/>
      <c r="S152" s="29"/>
      <c r="T152" s="27" t="str">
        <f aca="false">IF(OR(R152="",S152=""),"",R152+(R152-S152)*Paramètres!$B$6)</f>
        <v/>
      </c>
      <c r="U152" s="29"/>
      <c r="V152" s="27" t="str">
        <f aca="false">IF(OR(R152="",S152=""),"",ABS(R152-S152))</f>
        <v/>
      </c>
      <c r="W152" s="30" t="str">
        <f aca="false">IF(OR(U152="",V152="",N(V152)=0),"",ABS(U152-R152)/V152)</f>
        <v/>
      </c>
      <c r="X152" s="31"/>
      <c r="Y152" s="29"/>
      <c r="Z152" s="32"/>
      <c r="AA152" s="33" t="str">
        <f aca="false">IF(Y152="","",IF(Y152="Stop",-1,IF(Y152="BE",0,IF(Y152="TP1 + BE",Paramètres!$B$7*Paramètres!$B$6,IF(Y152="TP1 (100 %)",Paramètres!$B$6,IF(Y152="TP2",Paramètres!$B$7*Paramètres!$B$6+(1-Paramètres!$B$7)*N(W152),IF(Y152="Sortie manuelle",N(Z152),"")))))))</f>
        <v/>
      </c>
      <c r="AB152" s="34" t="str">
        <f aca="false">IF(AA152="","",AA152*IF(X152="",Paramètres!$B$5,X152))</f>
        <v/>
      </c>
      <c r="AC152" s="35" t="str">
        <f aca="false">IF(AB152="","",Paramètres!$B$4*(1+SUM(AB$5:AB152)))</f>
        <v/>
      </c>
      <c r="AD152" s="29"/>
      <c r="AE152" s="29"/>
      <c r="AF152" s="29"/>
      <c r="AG152" s="36"/>
      <c r="AH152" s="36"/>
      <c r="AI152" s="33" t="str">
        <f aca="false">IF(AA152="","",SUM(AA$5:AA152))</f>
        <v/>
      </c>
      <c r="AJ152" s="33" t="str">
        <f aca="false">IF(AI152="","",MAX(AI152,MAX(AJ$5:AJ151),0))</f>
        <v/>
      </c>
      <c r="AK152" s="33" t="str">
        <f aca="false">IF(AI152="","",AI152-AJ152)</f>
        <v/>
      </c>
      <c r="AL152" s="25" t="str">
        <f aca="false">IF(AA152="","",IF(AA152&lt;0,N(AL151)+1,0))</f>
        <v/>
      </c>
      <c r="AM152" s="37" t="str">
        <f aca="false">IF(B152="","",B152-WEEKDAY(B152,2)+1)</f>
        <v/>
      </c>
    </row>
    <row r="153" customFormat="false" ht="15" hidden="false" customHeight="false" outlineLevel="0" collapsed="false">
      <c r="A153" s="25" t="str">
        <f aca="false">IF(B153="","",ROW()-4)</f>
        <v/>
      </c>
      <c r="B153" s="26"/>
      <c r="C153" s="27" t="str">
        <f aca="false">IF(B153="","",CHOOSE(WEEKDAY(B153,2),"Lundi","Mardi","Mercredi","Jeudi","Vendredi","Samedi","Dimanche"))</f>
        <v/>
      </c>
      <c r="D153" s="28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5" t="str">
        <f aca="false">IF(B153="","",OR(AND(H153="Achat",I153="Haussier"),AND(H153="Vente",I153="Baissier"))*1+OR(AND(H153="Achat",J153="Discount"),AND(H153="Vente",J153="Premium"))*1+AND(K153&lt;&gt;"",K153&lt;&gt;"Aucune")*1+OR(L153="CHoCH",L153="BOS")*1+(M153="Oui")*1+OR(G153="Londres",G153="New York")*1+(O153="Non")*1)</f>
        <v/>
      </c>
      <c r="Q153" s="27" t="str">
        <f aca="false">IF(P153="","",IF(P153=7,"A+",IF(P153&gt;=5,"B","C")))</f>
        <v/>
      </c>
      <c r="R153" s="29"/>
      <c r="S153" s="29"/>
      <c r="T153" s="27" t="str">
        <f aca="false">IF(OR(R153="",S153=""),"",R153+(R153-S153)*Paramètres!$B$6)</f>
        <v/>
      </c>
      <c r="U153" s="29"/>
      <c r="V153" s="27" t="str">
        <f aca="false">IF(OR(R153="",S153=""),"",ABS(R153-S153))</f>
        <v/>
      </c>
      <c r="W153" s="30" t="str">
        <f aca="false">IF(OR(U153="",V153="",N(V153)=0),"",ABS(U153-R153)/V153)</f>
        <v/>
      </c>
      <c r="X153" s="31"/>
      <c r="Y153" s="29"/>
      <c r="Z153" s="32"/>
      <c r="AA153" s="33" t="str">
        <f aca="false">IF(Y153="","",IF(Y153="Stop",-1,IF(Y153="BE",0,IF(Y153="TP1 + BE",Paramètres!$B$7*Paramètres!$B$6,IF(Y153="TP1 (100 %)",Paramètres!$B$6,IF(Y153="TP2",Paramètres!$B$7*Paramètres!$B$6+(1-Paramètres!$B$7)*N(W153),IF(Y153="Sortie manuelle",N(Z153),"")))))))</f>
        <v/>
      </c>
      <c r="AB153" s="34" t="str">
        <f aca="false">IF(AA153="","",AA153*IF(X153="",Paramètres!$B$5,X153))</f>
        <v/>
      </c>
      <c r="AC153" s="35" t="str">
        <f aca="false">IF(AB153="","",Paramètres!$B$4*(1+SUM(AB$5:AB153)))</f>
        <v/>
      </c>
      <c r="AD153" s="29"/>
      <c r="AE153" s="29"/>
      <c r="AF153" s="29"/>
      <c r="AG153" s="36"/>
      <c r="AH153" s="36"/>
      <c r="AI153" s="33" t="str">
        <f aca="false">IF(AA153="","",SUM(AA$5:AA153))</f>
        <v/>
      </c>
      <c r="AJ153" s="33" t="str">
        <f aca="false">IF(AI153="","",MAX(AI153,MAX(AJ$5:AJ152),0))</f>
        <v/>
      </c>
      <c r="AK153" s="33" t="str">
        <f aca="false">IF(AI153="","",AI153-AJ153)</f>
        <v/>
      </c>
      <c r="AL153" s="25" t="str">
        <f aca="false">IF(AA153="","",IF(AA153&lt;0,N(AL152)+1,0))</f>
        <v/>
      </c>
      <c r="AM153" s="37" t="str">
        <f aca="false">IF(B153="","",B153-WEEKDAY(B153,2)+1)</f>
        <v/>
      </c>
    </row>
    <row r="154" customFormat="false" ht="15" hidden="false" customHeight="false" outlineLevel="0" collapsed="false">
      <c r="A154" s="25" t="str">
        <f aca="false">IF(B154="","",ROW()-4)</f>
        <v/>
      </c>
      <c r="B154" s="26"/>
      <c r="C154" s="27" t="str">
        <f aca="false">IF(B154="","",CHOOSE(WEEKDAY(B154,2),"Lundi","Mardi","Mercredi","Jeudi","Vendredi","Samedi","Dimanche"))</f>
        <v/>
      </c>
      <c r="D154" s="28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5" t="str">
        <f aca="false">IF(B154="","",OR(AND(H154="Achat",I154="Haussier"),AND(H154="Vente",I154="Baissier"))*1+OR(AND(H154="Achat",J154="Discount"),AND(H154="Vente",J154="Premium"))*1+AND(K154&lt;&gt;"",K154&lt;&gt;"Aucune")*1+OR(L154="CHoCH",L154="BOS")*1+(M154="Oui")*1+OR(G154="Londres",G154="New York")*1+(O154="Non")*1)</f>
        <v/>
      </c>
      <c r="Q154" s="27" t="str">
        <f aca="false">IF(P154="","",IF(P154=7,"A+",IF(P154&gt;=5,"B","C")))</f>
        <v/>
      </c>
      <c r="R154" s="29"/>
      <c r="S154" s="29"/>
      <c r="T154" s="27" t="str">
        <f aca="false">IF(OR(R154="",S154=""),"",R154+(R154-S154)*Paramètres!$B$6)</f>
        <v/>
      </c>
      <c r="U154" s="29"/>
      <c r="V154" s="27" t="str">
        <f aca="false">IF(OR(R154="",S154=""),"",ABS(R154-S154))</f>
        <v/>
      </c>
      <c r="W154" s="30" t="str">
        <f aca="false">IF(OR(U154="",V154="",N(V154)=0),"",ABS(U154-R154)/V154)</f>
        <v/>
      </c>
      <c r="X154" s="31"/>
      <c r="Y154" s="29"/>
      <c r="Z154" s="32"/>
      <c r="AA154" s="33" t="str">
        <f aca="false">IF(Y154="","",IF(Y154="Stop",-1,IF(Y154="BE",0,IF(Y154="TP1 + BE",Paramètres!$B$7*Paramètres!$B$6,IF(Y154="TP1 (100 %)",Paramètres!$B$6,IF(Y154="TP2",Paramètres!$B$7*Paramètres!$B$6+(1-Paramètres!$B$7)*N(W154),IF(Y154="Sortie manuelle",N(Z154),"")))))))</f>
        <v/>
      </c>
      <c r="AB154" s="34" t="str">
        <f aca="false">IF(AA154="","",AA154*IF(X154="",Paramètres!$B$5,X154))</f>
        <v/>
      </c>
      <c r="AC154" s="35" t="str">
        <f aca="false">IF(AB154="","",Paramètres!$B$4*(1+SUM(AB$5:AB154)))</f>
        <v/>
      </c>
      <c r="AD154" s="29"/>
      <c r="AE154" s="29"/>
      <c r="AF154" s="29"/>
      <c r="AG154" s="36"/>
      <c r="AH154" s="36"/>
      <c r="AI154" s="33" t="str">
        <f aca="false">IF(AA154="","",SUM(AA$5:AA154))</f>
        <v/>
      </c>
      <c r="AJ154" s="33" t="str">
        <f aca="false">IF(AI154="","",MAX(AI154,MAX(AJ$5:AJ153),0))</f>
        <v/>
      </c>
      <c r="AK154" s="33" t="str">
        <f aca="false">IF(AI154="","",AI154-AJ154)</f>
        <v/>
      </c>
      <c r="AL154" s="25" t="str">
        <f aca="false">IF(AA154="","",IF(AA154&lt;0,N(AL153)+1,0))</f>
        <v/>
      </c>
      <c r="AM154" s="37" t="str">
        <f aca="false">IF(B154="","",B154-WEEKDAY(B154,2)+1)</f>
        <v/>
      </c>
    </row>
    <row r="155" customFormat="false" ht="15" hidden="false" customHeight="false" outlineLevel="0" collapsed="false">
      <c r="A155" s="25" t="str">
        <f aca="false">IF(B155="","",ROW()-4)</f>
        <v/>
      </c>
      <c r="B155" s="26"/>
      <c r="C155" s="27" t="str">
        <f aca="false">IF(B155="","",CHOOSE(WEEKDAY(B155,2),"Lundi","Mardi","Mercredi","Jeudi","Vendredi","Samedi","Dimanche"))</f>
        <v/>
      </c>
      <c r="D155" s="28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5" t="str">
        <f aca="false">IF(B155="","",OR(AND(H155="Achat",I155="Haussier"),AND(H155="Vente",I155="Baissier"))*1+OR(AND(H155="Achat",J155="Discount"),AND(H155="Vente",J155="Premium"))*1+AND(K155&lt;&gt;"",K155&lt;&gt;"Aucune")*1+OR(L155="CHoCH",L155="BOS")*1+(M155="Oui")*1+OR(G155="Londres",G155="New York")*1+(O155="Non")*1)</f>
        <v/>
      </c>
      <c r="Q155" s="27" t="str">
        <f aca="false">IF(P155="","",IF(P155=7,"A+",IF(P155&gt;=5,"B","C")))</f>
        <v/>
      </c>
      <c r="R155" s="29"/>
      <c r="S155" s="29"/>
      <c r="T155" s="27" t="str">
        <f aca="false">IF(OR(R155="",S155=""),"",R155+(R155-S155)*Paramètres!$B$6)</f>
        <v/>
      </c>
      <c r="U155" s="29"/>
      <c r="V155" s="27" t="str">
        <f aca="false">IF(OR(R155="",S155=""),"",ABS(R155-S155))</f>
        <v/>
      </c>
      <c r="W155" s="30" t="str">
        <f aca="false">IF(OR(U155="",V155="",N(V155)=0),"",ABS(U155-R155)/V155)</f>
        <v/>
      </c>
      <c r="X155" s="31"/>
      <c r="Y155" s="29"/>
      <c r="Z155" s="32"/>
      <c r="AA155" s="33" t="str">
        <f aca="false">IF(Y155="","",IF(Y155="Stop",-1,IF(Y155="BE",0,IF(Y155="TP1 + BE",Paramètres!$B$7*Paramètres!$B$6,IF(Y155="TP1 (100 %)",Paramètres!$B$6,IF(Y155="TP2",Paramètres!$B$7*Paramètres!$B$6+(1-Paramètres!$B$7)*N(W155),IF(Y155="Sortie manuelle",N(Z155),"")))))))</f>
        <v/>
      </c>
      <c r="AB155" s="34" t="str">
        <f aca="false">IF(AA155="","",AA155*IF(X155="",Paramètres!$B$5,X155))</f>
        <v/>
      </c>
      <c r="AC155" s="35" t="str">
        <f aca="false">IF(AB155="","",Paramètres!$B$4*(1+SUM(AB$5:AB155)))</f>
        <v/>
      </c>
      <c r="AD155" s="29"/>
      <c r="AE155" s="29"/>
      <c r="AF155" s="29"/>
      <c r="AG155" s="36"/>
      <c r="AH155" s="36"/>
      <c r="AI155" s="33" t="str">
        <f aca="false">IF(AA155="","",SUM(AA$5:AA155))</f>
        <v/>
      </c>
      <c r="AJ155" s="33" t="str">
        <f aca="false">IF(AI155="","",MAX(AI155,MAX(AJ$5:AJ154),0))</f>
        <v/>
      </c>
      <c r="AK155" s="33" t="str">
        <f aca="false">IF(AI155="","",AI155-AJ155)</f>
        <v/>
      </c>
      <c r="AL155" s="25" t="str">
        <f aca="false">IF(AA155="","",IF(AA155&lt;0,N(AL154)+1,0))</f>
        <v/>
      </c>
      <c r="AM155" s="37" t="str">
        <f aca="false">IF(B155="","",B155-WEEKDAY(B155,2)+1)</f>
        <v/>
      </c>
    </row>
    <row r="156" customFormat="false" ht="15" hidden="false" customHeight="false" outlineLevel="0" collapsed="false">
      <c r="A156" s="25" t="str">
        <f aca="false">IF(B156="","",ROW()-4)</f>
        <v/>
      </c>
      <c r="B156" s="26"/>
      <c r="C156" s="27" t="str">
        <f aca="false">IF(B156="","",CHOOSE(WEEKDAY(B156,2),"Lundi","Mardi","Mercredi","Jeudi","Vendredi","Samedi","Dimanche"))</f>
        <v/>
      </c>
      <c r="D156" s="28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5" t="str">
        <f aca="false">IF(B156="","",OR(AND(H156="Achat",I156="Haussier"),AND(H156="Vente",I156="Baissier"))*1+OR(AND(H156="Achat",J156="Discount"),AND(H156="Vente",J156="Premium"))*1+AND(K156&lt;&gt;"",K156&lt;&gt;"Aucune")*1+OR(L156="CHoCH",L156="BOS")*1+(M156="Oui")*1+OR(G156="Londres",G156="New York")*1+(O156="Non")*1)</f>
        <v/>
      </c>
      <c r="Q156" s="27" t="str">
        <f aca="false">IF(P156="","",IF(P156=7,"A+",IF(P156&gt;=5,"B","C")))</f>
        <v/>
      </c>
      <c r="R156" s="29"/>
      <c r="S156" s="29"/>
      <c r="T156" s="27" t="str">
        <f aca="false">IF(OR(R156="",S156=""),"",R156+(R156-S156)*Paramètres!$B$6)</f>
        <v/>
      </c>
      <c r="U156" s="29"/>
      <c r="V156" s="27" t="str">
        <f aca="false">IF(OR(R156="",S156=""),"",ABS(R156-S156))</f>
        <v/>
      </c>
      <c r="W156" s="30" t="str">
        <f aca="false">IF(OR(U156="",V156="",N(V156)=0),"",ABS(U156-R156)/V156)</f>
        <v/>
      </c>
      <c r="X156" s="31"/>
      <c r="Y156" s="29"/>
      <c r="Z156" s="32"/>
      <c r="AA156" s="33" t="str">
        <f aca="false">IF(Y156="","",IF(Y156="Stop",-1,IF(Y156="BE",0,IF(Y156="TP1 + BE",Paramètres!$B$7*Paramètres!$B$6,IF(Y156="TP1 (100 %)",Paramètres!$B$6,IF(Y156="TP2",Paramètres!$B$7*Paramètres!$B$6+(1-Paramètres!$B$7)*N(W156),IF(Y156="Sortie manuelle",N(Z156),"")))))))</f>
        <v/>
      </c>
      <c r="AB156" s="34" t="str">
        <f aca="false">IF(AA156="","",AA156*IF(X156="",Paramètres!$B$5,X156))</f>
        <v/>
      </c>
      <c r="AC156" s="35" t="str">
        <f aca="false">IF(AB156="","",Paramètres!$B$4*(1+SUM(AB$5:AB156)))</f>
        <v/>
      </c>
      <c r="AD156" s="29"/>
      <c r="AE156" s="29"/>
      <c r="AF156" s="29"/>
      <c r="AG156" s="36"/>
      <c r="AH156" s="36"/>
      <c r="AI156" s="33" t="str">
        <f aca="false">IF(AA156="","",SUM(AA$5:AA156))</f>
        <v/>
      </c>
      <c r="AJ156" s="33" t="str">
        <f aca="false">IF(AI156="","",MAX(AI156,MAX(AJ$5:AJ155),0))</f>
        <v/>
      </c>
      <c r="AK156" s="33" t="str">
        <f aca="false">IF(AI156="","",AI156-AJ156)</f>
        <v/>
      </c>
      <c r="AL156" s="25" t="str">
        <f aca="false">IF(AA156="","",IF(AA156&lt;0,N(AL155)+1,0))</f>
        <v/>
      </c>
      <c r="AM156" s="37" t="str">
        <f aca="false">IF(B156="","",B156-WEEKDAY(B156,2)+1)</f>
        <v/>
      </c>
    </row>
    <row r="157" customFormat="false" ht="15" hidden="false" customHeight="false" outlineLevel="0" collapsed="false">
      <c r="A157" s="25" t="str">
        <f aca="false">IF(B157="","",ROW()-4)</f>
        <v/>
      </c>
      <c r="B157" s="26"/>
      <c r="C157" s="27" t="str">
        <f aca="false">IF(B157="","",CHOOSE(WEEKDAY(B157,2),"Lundi","Mardi","Mercredi","Jeudi","Vendredi","Samedi","Dimanche"))</f>
        <v/>
      </c>
      <c r="D157" s="28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5" t="str">
        <f aca="false">IF(B157="","",OR(AND(H157="Achat",I157="Haussier"),AND(H157="Vente",I157="Baissier"))*1+OR(AND(H157="Achat",J157="Discount"),AND(H157="Vente",J157="Premium"))*1+AND(K157&lt;&gt;"",K157&lt;&gt;"Aucune")*1+OR(L157="CHoCH",L157="BOS")*1+(M157="Oui")*1+OR(G157="Londres",G157="New York")*1+(O157="Non")*1)</f>
        <v/>
      </c>
      <c r="Q157" s="27" t="str">
        <f aca="false">IF(P157="","",IF(P157=7,"A+",IF(P157&gt;=5,"B","C")))</f>
        <v/>
      </c>
      <c r="R157" s="29"/>
      <c r="S157" s="29"/>
      <c r="T157" s="27" t="str">
        <f aca="false">IF(OR(R157="",S157=""),"",R157+(R157-S157)*Paramètres!$B$6)</f>
        <v/>
      </c>
      <c r="U157" s="29"/>
      <c r="V157" s="27" t="str">
        <f aca="false">IF(OR(R157="",S157=""),"",ABS(R157-S157))</f>
        <v/>
      </c>
      <c r="W157" s="30" t="str">
        <f aca="false">IF(OR(U157="",V157="",N(V157)=0),"",ABS(U157-R157)/V157)</f>
        <v/>
      </c>
      <c r="X157" s="31"/>
      <c r="Y157" s="29"/>
      <c r="Z157" s="32"/>
      <c r="AA157" s="33" t="str">
        <f aca="false">IF(Y157="","",IF(Y157="Stop",-1,IF(Y157="BE",0,IF(Y157="TP1 + BE",Paramètres!$B$7*Paramètres!$B$6,IF(Y157="TP1 (100 %)",Paramètres!$B$6,IF(Y157="TP2",Paramètres!$B$7*Paramètres!$B$6+(1-Paramètres!$B$7)*N(W157),IF(Y157="Sortie manuelle",N(Z157),"")))))))</f>
        <v/>
      </c>
      <c r="AB157" s="34" t="str">
        <f aca="false">IF(AA157="","",AA157*IF(X157="",Paramètres!$B$5,X157))</f>
        <v/>
      </c>
      <c r="AC157" s="35" t="str">
        <f aca="false">IF(AB157="","",Paramètres!$B$4*(1+SUM(AB$5:AB157)))</f>
        <v/>
      </c>
      <c r="AD157" s="29"/>
      <c r="AE157" s="29"/>
      <c r="AF157" s="29"/>
      <c r="AG157" s="36"/>
      <c r="AH157" s="36"/>
      <c r="AI157" s="33" t="str">
        <f aca="false">IF(AA157="","",SUM(AA$5:AA157))</f>
        <v/>
      </c>
      <c r="AJ157" s="33" t="str">
        <f aca="false">IF(AI157="","",MAX(AI157,MAX(AJ$5:AJ156),0))</f>
        <v/>
      </c>
      <c r="AK157" s="33" t="str">
        <f aca="false">IF(AI157="","",AI157-AJ157)</f>
        <v/>
      </c>
      <c r="AL157" s="25" t="str">
        <f aca="false">IF(AA157="","",IF(AA157&lt;0,N(AL156)+1,0))</f>
        <v/>
      </c>
      <c r="AM157" s="37" t="str">
        <f aca="false">IF(B157="","",B157-WEEKDAY(B157,2)+1)</f>
        <v/>
      </c>
    </row>
    <row r="158" customFormat="false" ht="15" hidden="false" customHeight="false" outlineLevel="0" collapsed="false">
      <c r="A158" s="25" t="str">
        <f aca="false">IF(B158="","",ROW()-4)</f>
        <v/>
      </c>
      <c r="B158" s="26"/>
      <c r="C158" s="27" t="str">
        <f aca="false">IF(B158="","",CHOOSE(WEEKDAY(B158,2),"Lundi","Mardi","Mercredi","Jeudi","Vendredi","Samedi","Dimanche"))</f>
        <v/>
      </c>
      <c r="D158" s="28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5" t="str">
        <f aca="false">IF(B158="","",OR(AND(H158="Achat",I158="Haussier"),AND(H158="Vente",I158="Baissier"))*1+OR(AND(H158="Achat",J158="Discount"),AND(H158="Vente",J158="Premium"))*1+AND(K158&lt;&gt;"",K158&lt;&gt;"Aucune")*1+OR(L158="CHoCH",L158="BOS")*1+(M158="Oui")*1+OR(G158="Londres",G158="New York")*1+(O158="Non")*1)</f>
        <v/>
      </c>
      <c r="Q158" s="27" t="str">
        <f aca="false">IF(P158="","",IF(P158=7,"A+",IF(P158&gt;=5,"B","C")))</f>
        <v/>
      </c>
      <c r="R158" s="29"/>
      <c r="S158" s="29"/>
      <c r="T158" s="27" t="str">
        <f aca="false">IF(OR(R158="",S158=""),"",R158+(R158-S158)*Paramètres!$B$6)</f>
        <v/>
      </c>
      <c r="U158" s="29"/>
      <c r="V158" s="27" t="str">
        <f aca="false">IF(OR(R158="",S158=""),"",ABS(R158-S158))</f>
        <v/>
      </c>
      <c r="W158" s="30" t="str">
        <f aca="false">IF(OR(U158="",V158="",N(V158)=0),"",ABS(U158-R158)/V158)</f>
        <v/>
      </c>
      <c r="X158" s="31"/>
      <c r="Y158" s="29"/>
      <c r="Z158" s="32"/>
      <c r="AA158" s="33" t="str">
        <f aca="false">IF(Y158="","",IF(Y158="Stop",-1,IF(Y158="BE",0,IF(Y158="TP1 + BE",Paramètres!$B$7*Paramètres!$B$6,IF(Y158="TP1 (100 %)",Paramètres!$B$6,IF(Y158="TP2",Paramètres!$B$7*Paramètres!$B$6+(1-Paramètres!$B$7)*N(W158),IF(Y158="Sortie manuelle",N(Z158),"")))))))</f>
        <v/>
      </c>
      <c r="AB158" s="34" t="str">
        <f aca="false">IF(AA158="","",AA158*IF(X158="",Paramètres!$B$5,X158))</f>
        <v/>
      </c>
      <c r="AC158" s="35" t="str">
        <f aca="false">IF(AB158="","",Paramètres!$B$4*(1+SUM(AB$5:AB158)))</f>
        <v/>
      </c>
      <c r="AD158" s="29"/>
      <c r="AE158" s="29"/>
      <c r="AF158" s="29"/>
      <c r="AG158" s="36"/>
      <c r="AH158" s="36"/>
      <c r="AI158" s="33" t="str">
        <f aca="false">IF(AA158="","",SUM(AA$5:AA158))</f>
        <v/>
      </c>
      <c r="AJ158" s="33" t="str">
        <f aca="false">IF(AI158="","",MAX(AI158,MAX(AJ$5:AJ157),0))</f>
        <v/>
      </c>
      <c r="AK158" s="33" t="str">
        <f aca="false">IF(AI158="","",AI158-AJ158)</f>
        <v/>
      </c>
      <c r="AL158" s="25" t="str">
        <f aca="false">IF(AA158="","",IF(AA158&lt;0,N(AL157)+1,0))</f>
        <v/>
      </c>
      <c r="AM158" s="37" t="str">
        <f aca="false">IF(B158="","",B158-WEEKDAY(B158,2)+1)</f>
        <v/>
      </c>
    </row>
    <row r="159" customFormat="false" ht="15" hidden="false" customHeight="false" outlineLevel="0" collapsed="false">
      <c r="A159" s="25" t="str">
        <f aca="false">IF(B159="","",ROW()-4)</f>
        <v/>
      </c>
      <c r="B159" s="26"/>
      <c r="C159" s="27" t="str">
        <f aca="false">IF(B159="","",CHOOSE(WEEKDAY(B159,2),"Lundi","Mardi","Mercredi","Jeudi","Vendredi","Samedi","Dimanche"))</f>
        <v/>
      </c>
      <c r="D159" s="28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5" t="str">
        <f aca="false">IF(B159="","",OR(AND(H159="Achat",I159="Haussier"),AND(H159="Vente",I159="Baissier"))*1+OR(AND(H159="Achat",J159="Discount"),AND(H159="Vente",J159="Premium"))*1+AND(K159&lt;&gt;"",K159&lt;&gt;"Aucune")*1+OR(L159="CHoCH",L159="BOS")*1+(M159="Oui")*1+OR(G159="Londres",G159="New York")*1+(O159="Non")*1)</f>
        <v/>
      </c>
      <c r="Q159" s="27" t="str">
        <f aca="false">IF(P159="","",IF(P159=7,"A+",IF(P159&gt;=5,"B","C")))</f>
        <v/>
      </c>
      <c r="R159" s="29"/>
      <c r="S159" s="29"/>
      <c r="T159" s="27" t="str">
        <f aca="false">IF(OR(R159="",S159=""),"",R159+(R159-S159)*Paramètres!$B$6)</f>
        <v/>
      </c>
      <c r="U159" s="29"/>
      <c r="V159" s="27" t="str">
        <f aca="false">IF(OR(R159="",S159=""),"",ABS(R159-S159))</f>
        <v/>
      </c>
      <c r="W159" s="30" t="str">
        <f aca="false">IF(OR(U159="",V159="",N(V159)=0),"",ABS(U159-R159)/V159)</f>
        <v/>
      </c>
      <c r="X159" s="31"/>
      <c r="Y159" s="29"/>
      <c r="Z159" s="32"/>
      <c r="AA159" s="33" t="str">
        <f aca="false">IF(Y159="","",IF(Y159="Stop",-1,IF(Y159="BE",0,IF(Y159="TP1 + BE",Paramètres!$B$7*Paramètres!$B$6,IF(Y159="TP1 (100 %)",Paramètres!$B$6,IF(Y159="TP2",Paramètres!$B$7*Paramètres!$B$6+(1-Paramètres!$B$7)*N(W159),IF(Y159="Sortie manuelle",N(Z159),"")))))))</f>
        <v/>
      </c>
      <c r="AB159" s="34" t="str">
        <f aca="false">IF(AA159="","",AA159*IF(X159="",Paramètres!$B$5,X159))</f>
        <v/>
      </c>
      <c r="AC159" s="35" t="str">
        <f aca="false">IF(AB159="","",Paramètres!$B$4*(1+SUM(AB$5:AB159)))</f>
        <v/>
      </c>
      <c r="AD159" s="29"/>
      <c r="AE159" s="29"/>
      <c r="AF159" s="29"/>
      <c r="AG159" s="36"/>
      <c r="AH159" s="36"/>
      <c r="AI159" s="33" t="str">
        <f aca="false">IF(AA159="","",SUM(AA$5:AA159))</f>
        <v/>
      </c>
      <c r="AJ159" s="33" t="str">
        <f aca="false">IF(AI159="","",MAX(AI159,MAX(AJ$5:AJ158),0))</f>
        <v/>
      </c>
      <c r="AK159" s="33" t="str">
        <f aca="false">IF(AI159="","",AI159-AJ159)</f>
        <v/>
      </c>
      <c r="AL159" s="25" t="str">
        <f aca="false">IF(AA159="","",IF(AA159&lt;0,N(AL158)+1,0))</f>
        <v/>
      </c>
      <c r="AM159" s="37" t="str">
        <f aca="false">IF(B159="","",B159-WEEKDAY(B159,2)+1)</f>
        <v/>
      </c>
    </row>
    <row r="160" customFormat="false" ht="15" hidden="false" customHeight="false" outlineLevel="0" collapsed="false">
      <c r="A160" s="25" t="str">
        <f aca="false">IF(B160="","",ROW()-4)</f>
        <v/>
      </c>
      <c r="B160" s="26"/>
      <c r="C160" s="27" t="str">
        <f aca="false">IF(B160="","",CHOOSE(WEEKDAY(B160,2),"Lundi","Mardi","Mercredi","Jeudi","Vendredi","Samedi","Dimanche"))</f>
        <v/>
      </c>
      <c r="D160" s="28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5" t="str">
        <f aca="false">IF(B160="","",OR(AND(H160="Achat",I160="Haussier"),AND(H160="Vente",I160="Baissier"))*1+OR(AND(H160="Achat",J160="Discount"),AND(H160="Vente",J160="Premium"))*1+AND(K160&lt;&gt;"",K160&lt;&gt;"Aucune")*1+OR(L160="CHoCH",L160="BOS")*1+(M160="Oui")*1+OR(G160="Londres",G160="New York")*1+(O160="Non")*1)</f>
        <v/>
      </c>
      <c r="Q160" s="27" t="str">
        <f aca="false">IF(P160="","",IF(P160=7,"A+",IF(P160&gt;=5,"B","C")))</f>
        <v/>
      </c>
      <c r="R160" s="29"/>
      <c r="S160" s="29"/>
      <c r="T160" s="27" t="str">
        <f aca="false">IF(OR(R160="",S160=""),"",R160+(R160-S160)*Paramètres!$B$6)</f>
        <v/>
      </c>
      <c r="U160" s="29"/>
      <c r="V160" s="27" t="str">
        <f aca="false">IF(OR(R160="",S160=""),"",ABS(R160-S160))</f>
        <v/>
      </c>
      <c r="W160" s="30" t="str">
        <f aca="false">IF(OR(U160="",V160="",N(V160)=0),"",ABS(U160-R160)/V160)</f>
        <v/>
      </c>
      <c r="X160" s="31"/>
      <c r="Y160" s="29"/>
      <c r="Z160" s="32"/>
      <c r="AA160" s="33" t="str">
        <f aca="false">IF(Y160="","",IF(Y160="Stop",-1,IF(Y160="BE",0,IF(Y160="TP1 + BE",Paramètres!$B$7*Paramètres!$B$6,IF(Y160="TP1 (100 %)",Paramètres!$B$6,IF(Y160="TP2",Paramètres!$B$7*Paramètres!$B$6+(1-Paramètres!$B$7)*N(W160),IF(Y160="Sortie manuelle",N(Z160),"")))))))</f>
        <v/>
      </c>
      <c r="AB160" s="34" t="str">
        <f aca="false">IF(AA160="","",AA160*IF(X160="",Paramètres!$B$5,X160))</f>
        <v/>
      </c>
      <c r="AC160" s="35" t="str">
        <f aca="false">IF(AB160="","",Paramètres!$B$4*(1+SUM(AB$5:AB160)))</f>
        <v/>
      </c>
      <c r="AD160" s="29"/>
      <c r="AE160" s="29"/>
      <c r="AF160" s="29"/>
      <c r="AG160" s="36"/>
      <c r="AH160" s="36"/>
      <c r="AI160" s="33" t="str">
        <f aca="false">IF(AA160="","",SUM(AA$5:AA160))</f>
        <v/>
      </c>
      <c r="AJ160" s="33" t="str">
        <f aca="false">IF(AI160="","",MAX(AI160,MAX(AJ$5:AJ159),0))</f>
        <v/>
      </c>
      <c r="AK160" s="33" t="str">
        <f aca="false">IF(AI160="","",AI160-AJ160)</f>
        <v/>
      </c>
      <c r="AL160" s="25" t="str">
        <f aca="false">IF(AA160="","",IF(AA160&lt;0,N(AL159)+1,0))</f>
        <v/>
      </c>
      <c r="AM160" s="37" t="str">
        <f aca="false">IF(B160="","",B160-WEEKDAY(B160,2)+1)</f>
        <v/>
      </c>
    </row>
    <row r="161" customFormat="false" ht="15" hidden="false" customHeight="false" outlineLevel="0" collapsed="false">
      <c r="A161" s="25" t="str">
        <f aca="false">IF(B161="","",ROW()-4)</f>
        <v/>
      </c>
      <c r="B161" s="26"/>
      <c r="C161" s="27" t="str">
        <f aca="false">IF(B161="","",CHOOSE(WEEKDAY(B161,2),"Lundi","Mardi","Mercredi","Jeudi","Vendredi","Samedi","Dimanche"))</f>
        <v/>
      </c>
      <c r="D161" s="28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5" t="str">
        <f aca="false">IF(B161="","",OR(AND(H161="Achat",I161="Haussier"),AND(H161="Vente",I161="Baissier"))*1+OR(AND(H161="Achat",J161="Discount"),AND(H161="Vente",J161="Premium"))*1+AND(K161&lt;&gt;"",K161&lt;&gt;"Aucune")*1+OR(L161="CHoCH",L161="BOS")*1+(M161="Oui")*1+OR(G161="Londres",G161="New York")*1+(O161="Non")*1)</f>
        <v/>
      </c>
      <c r="Q161" s="27" t="str">
        <f aca="false">IF(P161="","",IF(P161=7,"A+",IF(P161&gt;=5,"B","C")))</f>
        <v/>
      </c>
      <c r="R161" s="29"/>
      <c r="S161" s="29"/>
      <c r="T161" s="27" t="str">
        <f aca="false">IF(OR(R161="",S161=""),"",R161+(R161-S161)*Paramètres!$B$6)</f>
        <v/>
      </c>
      <c r="U161" s="29"/>
      <c r="V161" s="27" t="str">
        <f aca="false">IF(OR(R161="",S161=""),"",ABS(R161-S161))</f>
        <v/>
      </c>
      <c r="W161" s="30" t="str">
        <f aca="false">IF(OR(U161="",V161="",N(V161)=0),"",ABS(U161-R161)/V161)</f>
        <v/>
      </c>
      <c r="X161" s="31"/>
      <c r="Y161" s="29"/>
      <c r="Z161" s="32"/>
      <c r="AA161" s="33" t="str">
        <f aca="false">IF(Y161="","",IF(Y161="Stop",-1,IF(Y161="BE",0,IF(Y161="TP1 + BE",Paramètres!$B$7*Paramètres!$B$6,IF(Y161="TP1 (100 %)",Paramètres!$B$6,IF(Y161="TP2",Paramètres!$B$7*Paramètres!$B$6+(1-Paramètres!$B$7)*N(W161),IF(Y161="Sortie manuelle",N(Z161),"")))))))</f>
        <v/>
      </c>
      <c r="AB161" s="34" t="str">
        <f aca="false">IF(AA161="","",AA161*IF(X161="",Paramètres!$B$5,X161))</f>
        <v/>
      </c>
      <c r="AC161" s="35" t="str">
        <f aca="false">IF(AB161="","",Paramètres!$B$4*(1+SUM(AB$5:AB161)))</f>
        <v/>
      </c>
      <c r="AD161" s="29"/>
      <c r="AE161" s="29"/>
      <c r="AF161" s="29"/>
      <c r="AG161" s="36"/>
      <c r="AH161" s="36"/>
      <c r="AI161" s="33" t="str">
        <f aca="false">IF(AA161="","",SUM(AA$5:AA161))</f>
        <v/>
      </c>
      <c r="AJ161" s="33" t="str">
        <f aca="false">IF(AI161="","",MAX(AI161,MAX(AJ$5:AJ160),0))</f>
        <v/>
      </c>
      <c r="AK161" s="33" t="str">
        <f aca="false">IF(AI161="","",AI161-AJ161)</f>
        <v/>
      </c>
      <c r="AL161" s="25" t="str">
        <f aca="false">IF(AA161="","",IF(AA161&lt;0,N(AL160)+1,0))</f>
        <v/>
      </c>
      <c r="AM161" s="37" t="str">
        <f aca="false">IF(B161="","",B161-WEEKDAY(B161,2)+1)</f>
        <v/>
      </c>
    </row>
    <row r="162" customFormat="false" ht="15" hidden="false" customHeight="false" outlineLevel="0" collapsed="false">
      <c r="A162" s="25" t="str">
        <f aca="false">IF(B162="","",ROW()-4)</f>
        <v/>
      </c>
      <c r="B162" s="26"/>
      <c r="C162" s="27" t="str">
        <f aca="false">IF(B162="","",CHOOSE(WEEKDAY(B162,2),"Lundi","Mardi","Mercredi","Jeudi","Vendredi","Samedi","Dimanche"))</f>
        <v/>
      </c>
      <c r="D162" s="28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5" t="str">
        <f aca="false">IF(B162="","",OR(AND(H162="Achat",I162="Haussier"),AND(H162="Vente",I162="Baissier"))*1+OR(AND(H162="Achat",J162="Discount"),AND(H162="Vente",J162="Premium"))*1+AND(K162&lt;&gt;"",K162&lt;&gt;"Aucune")*1+OR(L162="CHoCH",L162="BOS")*1+(M162="Oui")*1+OR(G162="Londres",G162="New York")*1+(O162="Non")*1)</f>
        <v/>
      </c>
      <c r="Q162" s="27" t="str">
        <f aca="false">IF(P162="","",IF(P162=7,"A+",IF(P162&gt;=5,"B","C")))</f>
        <v/>
      </c>
      <c r="R162" s="29"/>
      <c r="S162" s="29"/>
      <c r="T162" s="27" t="str">
        <f aca="false">IF(OR(R162="",S162=""),"",R162+(R162-S162)*Paramètres!$B$6)</f>
        <v/>
      </c>
      <c r="U162" s="29"/>
      <c r="V162" s="27" t="str">
        <f aca="false">IF(OR(R162="",S162=""),"",ABS(R162-S162))</f>
        <v/>
      </c>
      <c r="W162" s="30" t="str">
        <f aca="false">IF(OR(U162="",V162="",N(V162)=0),"",ABS(U162-R162)/V162)</f>
        <v/>
      </c>
      <c r="X162" s="31"/>
      <c r="Y162" s="29"/>
      <c r="Z162" s="32"/>
      <c r="AA162" s="33" t="str">
        <f aca="false">IF(Y162="","",IF(Y162="Stop",-1,IF(Y162="BE",0,IF(Y162="TP1 + BE",Paramètres!$B$7*Paramètres!$B$6,IF(Y162="TP1 (100 %)",Paramètres!$B$6,IF(Y162="TP2",Paramètres!$B$7*Paramètres!$B$6+(1-Paramètres!$B$7)*N(W162),IF(Y162="Sortie manuelle",N(Z162),"")))))))</f>
        <v/>
      </c>
      <c r="AB162" s="34" t="str">
        <f aca="false">IF(AA162="","",AA162*IF(X162="",Paramètres!$B$5,X162))</f>
        <v/>
      </c>
      <c r="AC162" s="35" t="str">
        <f aca="false">IF(AB162="","",Paramètres!$B$4*(1+SUM(AB$5:AB162)))</f>
        <v/>
      </c>
      <c r="AD162" s="29"/>
      <c r="AE162" s="29"/>
      <c r="AF162" s="29"/>
      <c r="AG162" s="36"/>
      <c r="AH162" s="36"/>
      <c r="AI162" s="33" t="str">
        <f aca="false">IF(AA162="","",SUM(AA$5:AA162))</f>
        <v/>
      </c>
      <c r="AJ162" s="33" t="str">
        <f aca="false">IF(AI162="","",MAX(AI162,MAX(AJ$5:AJ161),0))</f>
        <v/>
      </c>
      <c r="AK162" s="33" t="str">
        <f aca="false">IF(AI162="","",AI162-AJ162)</f>
        <v/>
      </c>
      <c r="AL162" s="25" t="str">
        <f aca="false">IF(AA162="","",IF(AA162&lt;0,N(AL161)+1,0))</f>
        <v/>
      </c>
      <c r="AM162" s="37" t="str">
        <f aca="false">IF(B162="","",B162-WEEKDAY(B162,2)+1)</f>
        <v/>
      </c>
    </row>
    <row r="163" customFormat="false" ht="15" hidden="false" customHeight="false" outlineLevel="0" collapsed="false">
      <c r="A163" s="25" t="str">
        <f aca="false">IF(B163="","",ROW()-4)</f>
        <v/>
      </c>
      <c r="B163" s="26"/>
      <c r="C163" s="27" t="str">
        <f aca="false">IF(B163="","",CHOOSE(WEEKDAY(B163,2),"Lundi","Mardi","Mercredi","Jeudi","Vendredi","Samedi","Dimanche"))</f>
        <v/>
      </c>
      <c r="D163" s="28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5" t="str">
        <f aca="false">IF(B163="","",OR(AND(H163="Achat",I163="Haussier"),AND(H163="Vente",I163="Baissier"))*1+OR(AND(H163="Achat",J163="Discount"),AND(H163="Vente",J163="Premium"))*1+AND(K163&lt;&gt;"",K163&lt;&gt;"Aucune")*1+OR(L163="CHoCH",L163="BOS")*1+(M163="Oui")*1+OR(G163="Londres",G163="New York")*1+(O163="Non")*1)</f>
        <v/>
      </c>
      <c r="Q163" s="27" t="str">
        <f aca="false">IF(P163="","",IF(P163=7,"A+",IF(P163&gt;=5,"B","C")))</f>
        <v/>
      </c>
      <c r="R163" s="29"/>
      <c r="S163" s="29"/>
      <c r="T163" s="27" t="str">
        <f aca="false">IF(OR(R163="",S163=""),"",R163+(R163-S163)*Paramètres!$B$6)</f>
        <v/>
      </c>
      <c r="U163" s="29"/>
      <c r="V163" s="27" t="str">
        <f aca="false">IF(OR(R163="",S163=""),"",ABS(R163-S163))</f>
        <v/>
      </c>
      <c r="W163" s="30" t="str">
        <f aca="false">IF(OR(U163="",V163="",N(V163)=0),"",ABS(U163-R163)/V163)</f>
        <v/>
      </c>
      <c r="X163" s="31"/>
      <c r="Y163" s="29"/>
      <c r="Z163" s="32"/>
      <c r="AA163" s="33" t="str">
        <f aca="false">IF(Y163="","",IF(Y163="Stop",-1,IF(Y163="BE",0,IF(Y163="TP1 + BE",Paramètres!$B$7*Paramètres!$B$6,IF(Y163="TP1 (100 %)",Paramètres!$B$6,IF(Y163="TP2",Paramètres!$B$7*Paramètres!$B$6+(1-Paramètres!$B$7)*N(W163),IF(Y163="Sortie manuelle",N(Z163),"")))))))</f>
        <v/>
      </c>
      <c r="AB163" s="34" t="str">
        <f aca="false">IF(AA163="","",AA163*IF(X163="",Paramètres!$B$5,X163))</f>
        <v/>
      </c>
      <c r="AC163" s="35" t="str">
        <f aca="false">IF(AB163="","",Paramètres!$B$4*(1+SUM(AB$5:AB163)))</f>
        <v/>
      </c>
      <c r="AD163" s="29"/>
      <c r="AE163" s="29"/>
      <c r="AF163" s="29"/>
      <c r="AG163" s="36"/>
      <c r="AH163" s="36"/>
      <c r="AI163" s="33" t="str">
        <f aca="false">IF(AA163="","",SUM(AA$5:AA163))</f>
        <v/>
      </c>
      <c r="AJ163" s="33" t="str">
        <f aca="false">IF(AI163="","",MAX(AI163,MAX(AJ$5:AJ162),0))</f>
        <v/>
      </c>
      <c r="AK163" s="33" t="str">
        <f aca="false">IF(AI163="","",AI163-AJ163)</f>
        <v/>
      </c>
      <c r="AL163" s="25" t="str">
        <f aca="false">IF(AA163="","",IF(AA163&lt;0,N(AL162)+1,0))</f>
        <v/>
      </c>
      <c r="AM163" s="37" t="str">
        <f aca="false">IF(B163="","",B163-WEEKDAY(B163,2)+1)</f>
        <v/>
      </c>
    </row>
    <row r="164" customFormat="false" ht="15" hidden="false" customHeight="false" outlineLevel="0" collapsed="false">
      <c r="A164" s="25" t="str">
        <f aca="false">IF(B164="","",ROW()-4)</f>
        <v/>
      </c>
      <c r="B164" s="26"/>
      <c r="C164" s="27" t="str">
        <f aca="false">IF(B164="","",CHOOSE(WEEKDAY(B164,2),"Lundi","Mardi","Mercredi","Jeudi","Vendredi","Samedi","Dimanche"))</f>
        <v/>
      </c>
      <c r="D164" s="28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5" t="str">
        <f aca="false">IF(B164="","",OR(AND(H164="Achat",I164="Haussier"),AND(H164="Vente",I164="Baissier"))*1+OR(AND(H164="Achat",J164="Discount"),AND(H164="Vente",J164="Premium"))*1+AND(K164&lt;&gt;"",K164&lt;&gt;"Aucune")*1+OR(L164="CHoCH",L164="BOS")*1+(M164="Oui")*1+OR(G164="Londres",G164="New York")*1+(O164="Non")*1)</f>
        <v/>
      </c>
      <c r="Q164" s="27" t="str">
        <f aca="false">IF(P164="","",IF(P164=7,"A+",IF(P164&gt;=5,"B","C")))</f>
        <v/>
      </c>
      <c r="R164" s="29"/>
      <c r="S164" s="29"/>
      <c r="T164" s="27" t="str">
        <f aca="false">IF(OR(R164="",S164=""),"",R164+(R164-S164)*Paramètres!$B$6)</f>
        <v/>
      </c>
      <c r="U164" s="29"/>
      <c r="V164" s="27" t="str">
        <f aca="false">IF(OR(R164="",S164=""),"",ABS(R164-S164))</f>
        <v/>
      </c>
      <c r="W164" s="30" t="str">
        <f aca="false">IF(OR(U164="",V164="",N(V164)=0),"",ABS(U164-R164)/V164)</f>
        <v/>
      </c>
      <c r="X164" s="31"/>
      <c r="Y164" s="29"/>
      <c r="Z164" s="32"/>
      <c r="AA164" s="33" t="str">
        <f aca="false">IF(Y164="","",IF(Y164="Stop",-1,IF(Y164="BE",0,IF(Y164="TP1 + BE",Paramètres!$B$7*Paramètres!$B$6,IF(Y164="TP1 (100 %)",Paramètres!$B$6,IF(Y164="TP2",Paramètres!$B$7*Paramètres!$B$6+(1-Paramètres!$B$7)*N(W164),IF(Y164="Sortie manuelle",N(Z164),"")))))))</f>
        <v/>
      </c>
      <c r="AB164" s="34" t="str">
        <f aca="false">IF(AA164="","",AA164*IF(X164="",Paramètres!$B$5,X164))</f>
        <v/>
      </c>
      <c r="AC164" s="35" t="str">
        <f aca="false">IF(AB164="","",Paramètres!$B$4*(1+SUM(AB$5:AB164)))</f>
        <v/>
      </c>
      <c r="AD164" s="29"/>
      <c r="AE164" s="29"/>
      <c r="AF164" s="29"/>
      <c r="AG164" s="36"/>
      <c r="AH164" s="36"/>
      <c r="AI164" s="33" t="str">
        <f aca="false">IF(AA164="","",SUM(AA$5:AA164))</f>
        <v/>
      </c>
      <c r="AJ164" s="33" t="str">
        <f aca="false">IF(AI164="","",MAX(AI164,MAX(AJ$5:AJ163),0))</f>
        <v/>
      </c>
      <c r="AK164" s="33" t="str">
        <f aca="false">IF(AI164="","",AI164-AJ164)</f>
        <v/>
      </c>
      <c r="AL164" s="25" t="str">
        <f aca="false">IF(AA164="","",IF(AA164&lt;0,N(AL163)+1,0))</f>
        <v/>
      </c>
      <c r="AM164" s="37" t="str">
        <f aca="false">IF(B164="","",B164-WEEKDAY(B164,2)+1)</f>
        <v/>
      </c>
    </row>
    <row r="165" customFormat="false" ht="15" hidden="false" customHeight="false" outlineLevel="0" collapsed="false">
      <c r="A165" s="25" t="str">
        <f aca="false">IF(B165="","",ROW()-4)</f>
        <v/>
      </c>
      <c r="B165" s="26"/>
      <c r="C165" s="27" t="str">
        <f aca="false">IF(B165="","",CHOOSE(WEEKDAY(B165,2),"Lundi","Mardi","Mercredi","Jeudi","Vendredi","Samedi","Dimanche"))</f>
        <v/>
      </c>
      <c r="D165" s="28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5" t="str">
        <f aca="false">IF(B165="","",OR(AND(H165="Achat",I165="Haussier"),AND(H165="Vente",I165="Baissier"))*1+OR(AND(H165="Achat",J165="Discount"),AND(H165="Vente",J165="Premium"))*1+AND(K165&lt;&gt;"",K165&lt;&gt;"Aucune")*1+OR(L165="CHoCH",L165="BOS")*1+(M165="Oui")*1+OR(G165="Londres",G165="New York")*1+(O165="Non")*1)</f>
        <v/>
      </c>
      <c r="Q165" s="27" t="str">
        <f aca="false">IF(P165="","",IF(P165=7,"A+",IF(P165&gt;=5,"B","C")))</f>
        <v/>
      </c>
      <c r="R165" s="29"/>
      <c r="S165" s="29"/>
      <c r="T165" s="27" t="str">
        <f aca="false">IF(OR(R165="",S165=""),"",R165+(R165-S165)*Paramètres!$B$6)</f>
        <v/>
      </c>
      <c r="U165" s="29"/>
      <c r="V165" s="27" t="str">
        <f aca="false">IF(OR(R165="",S165=""),"",ABS(R165-S165))</f>
        <v/>
      </c>
      <c r="W165" s="30" t="str">
        <f aca="false">IF(OR(U165="",V165="",N(V165)=0),"",ABS(U165-R165)/V165)</f>
        <v/>
      </c>
      <c r="X165" s="31"/>
      <c r="Y165" s="29"/>
      <c r="Z165" s="32"/>
      <c r="AA165" s="33" t="str">
        <f aca="false">IF(Y165="","",IF(Y165="Stop",-1,IF(Y165="BE",0,IF(Y165="TP1 + BE",Paramètres!$B$7*Paramètres!$B$6,IF(Y165="TP1 (100 %)",Paramètres!$B$6,IF(Y165="TP2",Paramètres!$B$7*Paramètres!$B$6+(1-Paramètres!$B$7)*N(W165),IF(Y165="Sortie manuelle",N(Z165),"")))))))</f>
        <v/>
      </c>
      <c r="AB165" s="34" t="str">
        <f aca="false">IF(AA165="","",AA165*IF(X165="",Paramètres!$B$5,X165))</f>
        <v/>
      </c>
      <c r="AC165" s="35" t="str">
        <f aca="false">IF(AB165="","",Paramètres!$B$4*(1+SUM(AB$5:AB165)))</f>
        <v/>
      </c>
      <c r="AD165" s="29"/>
      <c r="AE165" s="29"/>
      <c r="AF165" s="29"/>
      <c r="AG165" s="36"/>
      <c r="AH165" s="36"/>
      <c r="AI165" s="33" t="str">
        <f aca="false">IF(AA165="","",SUM(AA$5:AA165))</f>
        <v/>
      </c>
      <c r="AJ165" s="33" t="str">
        <f aca="false">IF(AI165="","",MAX(AI165,MAX(AJ$5:AJ164),0))</f>
        <v/>
      </c>
      <c r="AK165" s="33" t="str">
        <f aca="false">IF(AI165="","",AI165-AJ165)</f>
        <v/>
      </c>
      <c r="AL165" s="25" t="str">
        <f aca="false">IF(AA165="","",IF(AA165&lt;0,N(AL164)+1,0))</f>
        <v/>
      </c>
      <c r="AM165" s="37" t="str">
        <f aca="false">IF(B165="","",B165-WEEKDAY(B165,2)+1)</f>
        <v/>
      </c>
    </row>
    <row r="166" customFormat="false" ht="15" hidden="false" customHeight="false" outlineLevel="0" collapsed="false">
      <c r="A166" s="25" t="str">
        <f aca="false">IF(B166="","",ROW()-4)</f>
        <v/>
      </c>
      <c r="B166" s="26"/>
      <c r="C166" s="27" t="str">
        <f aca="false">IF(B166="","",CHOOSE(WEEKDAY(B166,2),"Lundi","Mardi","Mercredi","Jeudi","Vendredi","Samedi","Dimanche"))</f>
        <v/>
      </c>
      <c r="D166" s="28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5" t="str">
        <f aca="false">IF(B166="","",OR(AND(H166="Achat",I166="Haussier"),AND(H166="Vente",I166="Baissier"))*1+OR(AND(H166="Achat",J166="Discount"),AND(H166="Vente",J166="Premium"))*1+AND(K166&lt;&gt;"",K166&lt;&gt;"Aucune")*1+OR(L166="CHoCH",L166="BOS")*1+(M166="Oui")*1+OR(G166="Londres",G166="New York")*1+(O166="Non")*1)</f>
        <v/>
      </c>
      <c r="Q166" s="27" t="str">
        <f aca="false">IF(P166="","",IF(P166=7,"A+",IF(P166&gt;=5,"B","C")))</f>
        <v/>
      </c>
      <c r="R166" s="29"/>
      <c r="S166" s="29"/>
      <c r="T166" s="27" t="str">
        <f aca="false">IF(OR(R166="",S166=""),"",R166+(R166-S166)*Paramètres!$B$6)</f>
        <v/>
      </c>
      <c r="U166" s="29"/>
      <c r="V166" s="27" t="str">
        <f aca="false">IF(OR(R166="",S166=""),"",ABS(R166-S166))</f>
        <v/>
      </c>
      <c r="W166" s="30" t="str">
        <f aca="false">IF(OR(U166="",V166="",N(V166)=0),"",ABS(U166-R166)/V166)</f>
        <v/>
      </c>
      <c r="X166" s="31"/>
      <c r="Y166" s="29"/>
      <c r="Z166" s="32"/>
      <c r="AA166" s="33" t="str">
        <f aca="false">IF(Y166="","",IF(Y166="Stop",-1,IF(Y166="BE",0,IF(Y166="TP1 + BE",Paramètres!$B$7*Paramètres!$B$6,IF(Y166="TP1 (100 %)",Paramètres!$B$6,IF(Y166="TP2",Paramètres!$B$7*Paramètres!$B$6+(1-Paramètres!$B$7)*N(W166),IF(Y166="Sortie manuelle",N(Z166),"")))))))</f>
        <v/>
      </c>
      <c r="AB166" s="34" t="str">
        <f aca="false">IF(AA166="","",AA166*IF(X166="",Paramètres!$B$5,X166))</f>
        <v/>
      </c>
      <c r="AC166" s="35" t="str">
        <f aca="false">IF(AB166="","",Paramètres!$B$4*(1+SUM(AB$5:AB166)))</f>
        <v/>
      </c>
      <c r="AD166" s="29"/>
      <c r="AE166" s="29"/>
      <c r="AF166" s="29"/>
      <c r="AG166" s="36"/>
      <c r="AH166" s="36"/>
      <c r="AI166" s="33" t="str">
        <f aca="false">IF(AA166="","",SUM(AA$5:AA166))</f>
        <v/>
      </c>
      <c r="AJ166" s="33" t="str">
        <f aca="false">IF(AI166="","",MAX(AI166,MAX(AJ$5:AJ165),0))</f>
        <v/>
      </c>
      <c r="AK166" s="33" t="str">
        <f aca="false">IF(AI166="","",AI166-AJ166)</f>
        <v/>
      </c>
      <c r="AL166" s="25" t="str">
        <f aca="false">IF(AA166="","",IF(AA166&lt;0,N(AL165)+1,0))</f>
        <v/>
      </c>
      <c r="AM166" s="37" t="str">
        <f aca="false">IF(B166="","",B166-WEEKDAY(B166,2)+1)</f>
        <v/>
      </c>
    </row>
    <row r="167" customFormat="false" ht="15" hidden="false" customHeight="false" outlineLevel="0" collapsed="false">
      <c r="A167" s="25" t="str">
        <f aca="false">IF(B167="","",ROW()-4)</f>
        <v/>
      </c>
      <c r="B167" s="26"/>
      <c r="C167" s="27" t="str">
        <f aca="false">IF(B167="","",CHOOSE(WEEKDAY(B167,2),"Lundi","Mardi","Mercredi","Jeudi","Vendredi","Samedi","Dimanche"))</f>
        <v/>
      </c>
      <c r="D167" s="28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5" t="str">
        <f aca="false">IF(B167="","",OR(AND(H167="Achat",I167="Haussier"),AND(H167="Vente",I167="Baissier"))*1+OR(AND(H167="Achat",J167="Discount"),AND(H167="Vente",J167="Premium"))*1+AND(K167&lt;&gt;"",K167&lt;&gt;"Aucune")*1+OR(L167="CHoCH",L167="BOS")*1+(M167="Oui")*1+OR(G167="Londres",G167="New York")*1+(O167="Non")*1)</f>
        <v/>
      </c>
      <c r="Q167" s="27" t="str">
        <f aca="false">IF(P167="","",IF(P167=7,"A+",IF(P167&gt;=5,"B","C")))</f>
        <v/>
      </c>
      <c r="R167" s="29"/>
      <c r="S167" s="29"/>
      <c r="T167" s="27" t="str">
        <f aca="false">IF(OR(R167="",S167=""),"",R167+(R167-S167)*Paramètres!$B$6)</f>
        <v/>
      </c>
      <c r="U167" s="29"/>
      <c r="V167" s="27" t="str">
        <f aca="false">IF(OR(R167="",S167=""),"",ABS(R167-S167))</f>
        <v/>
      </c>
      <c r="W167" s="30" t="str">
        <f aca="false">IF(OR(U167="",V167="",N(V167)=0),"",ABS(U167-R167)/V167)</f>
        <v/>
      </c>
      <c r="X167" s="31"/>
      <c r="Y167" s="29"/>
      <c r="Z167" s="32"/>
      <c r="AA167" s="33" t="str">
        <f aca="false">IF(Y167="","",IF(Y167="Stop",-1,IF(Y167="BE",0,IF(Y167="TP1 + BE",Paramètres!$B$7*Paramètres!$B$6,IF(Y167="TP1 (100 %)",Paramètres!$B$6,IF(Y167="TP2",Paramètres!$B$7*Paramètres!$B$6+(1-Paramètres!$B$7)*N(W167),IF(Y167="Sortie manuelle",N(Z167),"")))))))</f>
        <v/>
      </c>
      <c r="AB167" s="34" t="str">
        <f aca="false">IF(AA167="","",AA167*IF(X167="",Paramètres!$B$5,X167))</f>
        <v/>
      </c>
      <c r="AC167" s="35" t="str">
        <f aca="false">IF(AB167="","",Paramètres!$B$4*(1+SUM(AB$5:AB167)))</f>
        <v/>
      </c>
      <c r="AD167" s="29"/>
      <c r="AE167" s="29"/>
      <c r="AF167" s="29"/>
      <c r="AG167" s="36"/>
      <c r="AH167" s="36"/>
      <c r="AI167" s="33" t="str">
        <f aca="false">IF(AA167="","",SUM(AA$5:AA167))</f>
        <v/>
      </c>
      <c r="AJ167" s="33" t="str">
        <f aca="false">IF(AI167="","",MAX(AI167,MAX(AJ$5:AJ166),0))</f>
        <v/>
      </c>
      <c r="AK167" s="33" t="str">
        <f aca="false">IF(AI167="","",AI167-AJ167)</f>
        <v/>
      </c>
      <c r="AL167" s="25" t="str">
        <f aca="false">IF(AA167="","",IF(AA167&lt;0,N(AL166)+1,0))</f>
        <v/>
      </c>
      <c r="AM167" s="37" t="str">
        <f aca="false">IF(B167="","",B167-WEEKDAY(B167,2)+1)</f>
        <v/>
      </c>
    </row>
    <row r="168" customFormat="false" ht="15" hidden="false" customHeight="false" outlineLevel="0" collapsed="false">
      <c r="A168" s="25" t="str">
        <f aca="false">IF(B168="","",ROW()-4)</f>
        <v/>
      </c>
      <c r="B168" s="26"/>
      <c r="C168" s="27" t="str">
        <f aca="false">IF(B168="","",CHOOSE(WEEKDAY(B168,2),"Lundi","Mardi","Mercredi","Jeudi","Vendredi","Samedi","Dimanche"))</f>
        <v/>
      </c>
      <c r="D168" s="28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5" t="str">
        <f aca="false">IF(B168="","",OR(AND(H168="Achat",I168="Haussier"),AND(H168="Vente",I168="Baissier"))*1+OR(AND(H168="Achat",J168="Discount"),AND(H168="Vente",J168="Premium"))*1+AND(K168&lt;&gt;"",K168&lt;&gt;"Aucune")*1+OR(L168="CHoCH",L168="BOS")*1+(M168="Oui")*1+OR(G168="Londres",G168="New York")*1+(O168="Non")*1)</f>
        <v/>
      </c>
      <c r="Q168" s="27" t="str">
        <f aca="false">IF(P168="","",IF(P168=7,"A+",IF(P168&gt;=5,"B","C")))</f>
        <v/>
      </c>
      <c r="R168" s="29"/>
      <c r="S168" s="29"/>
      <c r="T168" s="27" t="str">
        <f aca="false">IF(OR(R168="",S168=""),"",R168+(R168-S168)*Paramètres!$B$6)</f>
        <v/>
      </c>
      <c r="U168" s="29"/>
      <c r="V168" s="27" t="str">
        <f aca="false">IF(OR(R168="",S168=""),"",ABS(R168-S168))</f>
        <v/>
      </c>
      <c r="W168" s="30" t="str">
        <f aca="false">IF(OR(U168="",V168="",N(V168)=0),"",ABS(U168-R168)/V168)</f>
        <v/>
      </c>
      <c r="X168" s="31"/>
      <c r="Y168" s="29"/>
      <c r="Z168" s="32"/>
      <c r="AA168" s="33" t="str">
        <f aca="false">IF(Y168="","",IF(Y168="Stop",-1,IF(Y168="BE",0,IF(Y168="TP1 + BE",Paramètres!$B$7*Paramètres!$B$6,IF(Y168="TP1 (100 %)",Paramètres!$B$6,IF(Y168="TP2",Paramètres!$B$7*Paramètres!$B$6+(1-Paramètres!$B$7)*N(W168),IF(Y168="Sortie manuelle",N(Z168),"")))))))</f>
        <v/>
      </c>
      <c r="AB168" s="34" t="str">
        <f aca="false">IF(AA168="","",AA168*IF(X168="",Paramètres!$B$5,X168))</f>
        <v/>
      </c>
      <c r="AC168" s="35" t="str">
        <f aca="false">IF(AB168="","",Paramètres!$B$4*(1+SUM(AB$5:AB168)))</f>
        <v/>
      </c>
      <c r="AD168" s="29"/>
      <c r="AE168" s="29"/>
      <c r="AF168" s="29"/>
      <c r="AG168" s="36"/>
      <c r="AH168" s="36"/>
      <c r="AI168" s="33" t="str">
        <f aca="false">IF(AA168="","",SUM(AA$5:AA168))</f>
        <v/>
      </c>
      <c r="AJ168" s="33" t="str">
        <f aca="false">IF(AI168="","",MAX(AI168,MAX(AJ$5:AJ167),0))</f>
        <v/>
      </c>
      <c r="AK168" s="33" t="str">
        <f aca="false">IF(AI168="","",AI168-AJ168)</f>
        <v/>
      </c>
      <c r="AL168" s="25" t="str">
        <f aca="false">IF(AA168="","",IF(AA168&lt;0,N(AL167)+1,0))</f>
        <v/>
      </c>
      <c r="AM168" s="37" t="str">
        <f aca="false">IF(B168="","",B168-WEEKDAY(B168,2)+1)</f>
        <v/>
      </c>
    </row>
    <row r="169" customFormat="false" ht="15" hidden="false" customHeight="false" outlineLevel="0" collapsed="false">
      <c r="A169" s="25" t="str">
        <f aca="false">IF(B169="","",ROW()-4)</f>
        <v/>
      </c>
      <c r="B169" s="26"/>
      <c r="C169" s="27" t="str">
        <f aca="false">IF(B169="","",CHOOSE(WEEKDAY(B169,2),"Lundi","Mardi","Mercredi","Jeudi","Vendredi","Samedi","Dimanche"))</f>
        <v/>
      </c>
      <c r="D169" s="28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5" t="str">
        <f aca="false">IF(B169="","",OR(AND(H169="Achat",I169="Haussier"),AND(H169="Vente",I169="Baissier"))*1+OR(AND(H169="Achat",J169="Discount"),AND(H169="Vente",J169="Premium"))*1+AND(K169&lt;&gt;"",K169&lt;&gt;"Aucune")*1+OR(L169="CHoCH",L169="BOS")*1+(M169="Oui")*1+OR(G169="Londres",G169="New York")*1+(O169="Non")*1)</f>
        <v/>
      </c>
      <c r="Q169" s="27" t="str">
        <f aca="false">IF(P169="","",IF(P169=7,"A+",IF(P169&gt;=5,"B","C")))</f>
        <v/>
      </c>
      <c r="R169" s="29"/>
      <c r="S169" s="29"/>
      <c r="T169" s="27" t="str">
        <f aca="false">IF(OR(R169="",S169=""),"",R169+(R169-S169)*Paramètres!$B$6)</f>
        <v/>
      </c>
      <c r="U169" s="29"/>
      <c r="V169" s="27" t="str">
        <f aca="false">IF(OR(R169="",S169=""),"",ABS(R169-S169))</f>
        <v/>
      </c>
      <c r="W169" s="30" t="str">
        <f aca="false">IF(OR(U169="",V169="",N(V169)=0),"",ABS(U169-R169)/V169)</f>
        <v/>
      </c>
      <c r="X169" s="31"/>
      <c r="Y169" s="29"/>
      <c r="Z169" s="32"/>
      <c r="AA169" s="33" t="str">
        <f aca="false">IF(Y169="","",IF(Y169="Stop",-1,IF(Y169="BE",0,IF(Y169="TP1 + BE",Paramètres!$B$7*Paramètres!$B$6,IF(Y169="TP1 (100 %)",Paramètres!$B$6,IF(Y169="TP2",Paramètres!$B$7*Paramètres!$B$6+(1-Paramètres!$B$7)*N(W169),IF(Y169="Sortie manuelle",N(Z169),"")))))))</f>
        <v/>
      </c>
      <c r="AB169" s="34" t="str">
        <f aca="false">IF(AA169="","",AA169*IF(X169="",Paramètres!$B$5,X169))</f>
        <v/>
      </c>
      <c r="AC169" s="35" t="str">
        <f aca="false">IF(AB169="","",Paramètres!$B$4*(1+SUM(AB$5:AB169)))</f>
        <v/>
      </c>
      <c r="AD169" s="29"/>
      <c r="AE169" s="29"/>
      <c r="AF169" s="29"/>
      <c r="AG169" s="36"/>
      <c r="AH169" s="36"/>
      <c r="AI169" s="33" t="str">
        <f aca="false">IF(AA169="","",SUM(AA$5:AA169))</f>
        <v/>
      </c>
      <c r="AJ169" s="33" t="str">
        <f aca="false">IF(AI169="","",MAX(AI169,MAX(AJ$5:AJ168),0))</f>
        <v/>
      </c>
      <c r="AK169" s="33" t="str">
        <f aca="false">IF(AI169="","",AI169-AJ169)</f>
        <v/>
      </c>
      <c r="AL169" s="25" t="str">
        <f aca="false">IF(AA169="","",IF(AA169&lt;0,N(AL168)+1,0))</f>
        <v/>
      </c>
      <c r="AM169" s="37" t="str">
        <f aca="false">IF(B169="","",B169-WEEKDAY(B169,2)+1)</f>
        <v/>
      </c>
    </row>
    <row r="170" customFormat="false" ht="15" hidden="false" customHeight="false" outlineLevel="0" collapsed="false">
      <c r="A170" s="25" t="str">
        <f aca="false">IF(B170="","",ROW()-4)</f>
        <v/>
      </c>
      <c r="B170" s="26"/>
      <c r="C170" s="27" t="str">
        <f aca="false">IF(B170="","",CHOOSE(WEEKDAY(B170,2),"Lundi","Mardi","Mercredi","Jeudi","Vendredi","Samedi","Dimanche"))</f>
        <v/>
      </c>
      <c r="D170" s="28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5" t="str">
        <f aca="false">IF(B170="","",OR(AND(H170="Achat",I170="Haussier"),AND(H170="Vente",I170="Baissier"))*1+OR(AND(H170="Achat",J170="Discount"),AND(H170="Vente",J170="Premium"))*1+AND(K170&lt;&gt;"",K170&lt;&gt;"Aucune")*1+OR(L170="CHoCH",L170="BOS")*1+(M170="Oui")*1+OR(G170="Londres",G170="New York")*1+(O170="Non")*1)</f>
        <v/>
      </c>
      <c r="Q170" s="27" t="str">
        <f aca="false">IF(P170="","",IF(P170=7,"A+",IF(P170&gt;=5,"B","C")))</f>
        <v/>
      </c>
      <c r="R170" s="29"/>
      <c r="S170" s="29"/>
      <c r="T170" s="27" t="str">
        <f aca="false">IF(OR(R170="",S170=""),"",R170+(R170-S170)*Paramètres!$B$6)</f>
        <v/>
      </c>
      <c r="U170" s="29"/>
      <c r="V170" s="27" t="str">
        <f aca="false">IF(OR(R170="",S170=""),"",ABS(R170-S170))</f>
        <v/>
      </c>
      <c r="W170" s="30" t="str">
        <f aca="false">IF(OR(U170="",V170="",N(V170)=0),"",ABS(U170-R170)/V170)</f>
        <v/>
      </c>
      <c r="X170" s="31"/>
      <c r="Y170" s="29"/>
      <c r="Z170" s="32"/>
      <c r="AA170" s="33" t="str">
        <f aca="false">IF(Y170="","",IF(Y170="Stop",-1,IF(Y170="BE",0,IF(Y170="TP1 + BE",Paramètres!$B$7*Paramètres!$B$6,IF(Y170="TP1 (100 %)",Paramètres!$B$6,IF(Y170="TP2",Paramètres!$B$7*Paramètres!$B$6+(1-Paramètres!$B$7)*N(W170),IF(Y170="Sortie manuelle",N(Z170),"")))))))</f>
        <v/>
      </c>
      <c r="AB170" s="34" t="str">
        <f aca="false">IF(AA170="","",AA170*IF(X170="",Paramètres!$B$5,X170))</f>
        <v/>
      </c>
      <c r="AC170" s="35" t="str">
        <f aca="false">IF(AB170="","",Paramètres!$B$4*(1+SUM(AB$5:AB170)))</f>
        <v/>
      </c>
      <c r="AD170" s="29"/>
      <c r="AE170" s="29"/>
      <c r="AF170" s="29"/>
      <c r="AG170" s="36"/>
      <c r="AH170" s="36"/>
      <c r="AI170" s="33" t="str">
        <f aca="false">IF(AA170="","",SUM(AA$5:AA170))</f>
        <v/>
      </c>
      <c r="AJ170" s="33" t="str">
        <f aca="false">IF(AI170="","",MAX(AI170,MAX(AJ$5:AJ169),0))</f>
        <v/>
      </c>
      <c r="AK170" s="33" t="str">
        <f aca="false">IF(AI170="","",AI170-AJ170)</f>
        <v/>
      </c>
      <c r="AL170" s="25" t="str">
        <f aca="false">IF(AA170="","",IF(AA170&lt;0,N(AL169)+1,0))</f>
        <v/>
      </c>
      <c r="AM170" s="37" t="str">
        <f aca="false">IF(B170="","",B170-WEEKDAY(B170,2)+1)</f>
        <v/>
      </c>
    </row>
    <row r="171" customFormat="false" ht="15" hidden="false" customHeight="false" outlineLevel="0" collapsed="false">
      <c r="A171" s="25" t="str">
        <f aca="false">IF(B171="","",ROW()-4)</f>
        <v/>
      </c>
      <c r="B171" s="26"/>
      <c r="C171" s="27" t="str">
        <f aca="false">IF(B171="","",CHOOSE(WEEKDAY(B171,2),"Lundi","Mardi","Mercredi","Jeudi","Vendredi","Samedi","Dimanche"))</f>
        <v/>
      </c>
      <c r="D171" s="28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5" t="str">
        <f aca="false">IF(B171="","",OR(AND(H171="Achat",I171="Haussier"),AND(H171="Vente",I171="Baissier"))*1+OR(AND(H171="Achat",J171="Discount"),AND(H171="Vente",J171="Premium"))*1+AND(K171&lt;&gt;"",K171&lt;&gt;"Aucune")*1+OR(L171="CHoCH",L171="BOS")*1+(M171="Oui")*1+OR(G171="Londres",G171="New York")*1+(O171="Non")*1)</f>
        <v/>
      </c>
      <c r="Q171" s="27" t="str">
        <f aca="false">IF(P171="","",IF(P171=7,"A+",IF(P171&gt;=5,"B","C")))</f>
        <v/>
      </c>
      <c r="R171" s="29"/>
      <c r="S171" s="29"/>
      <c r="T171" s="27" t="str">
        <f aca="false">IF(OR(R171="",S171=""),"",R171+(R171-S171)*Paramètres!$B$6)</f>
        <v/>
      </c>
      <c r="U171" s="29"/>
      <c r="V171" s="27" t="str">
        <f aca="false">IF(OR(R171="",S171=""),"",ABS(R171-S171))</f>
        <v/>
      </c>
      <c r="W171" s="30" t="str">
        <f aca="false">IF(OR(U171="",V171="",N(V171)=0),"",ABS(U171-R171)/V171)</f>
        <v/>
      </c>
      <c r="X171" s="31"/>
      <c r="Y171" s="29"/>
      <c r="Z171" s="32"/>
      <c r="AA171" s="33" t="str">
        <f aca="false">IF(Y171="","",IF(Y171="Stop",-1,IF(Y171="BE",0,IF(Y171="TP1 + BE",Paramètres!$B$7*Paramètres!$B$6,IF(Y171="TP1 (100 %)",Paramètres!$B$6,IF(Y171="TP2",Paramètres!$B$7*Paramètres!$B$6+(1-Paramètres!$B$7)*N(W171),IF(Y171="Sortie manuelle",N(Z171),"")))))))</f>
        <v/>
      </c>
      <c r="AB171" s="34" t="str">
        <f aca="false">IF(AA171="","",AA171*IF(X171="",Paramètres!$B$5,X171))</f>
        <v/>
      </c>
      <c r="AC171" s="35" t="str">
        <f aca="false">IF(AB171="","",Paramètres!$B$4*(1+SUM(AB$5:AB171)))</f>
        <v/>
      </c>
      <c r="AD171" s="29"/>
      <c r="AE171" s="29"/>
      <c r="AF171" s="29"/>
      <c r="AG171" s="36"/>
      <c r="AH171" s="36"/>
      <c r="AI171" s="33" t="str">
        <f aca="false">IF(AA171="","",SUM(AA$5:AA171))</f>
        <v/>
      </c>
      <c r="AJ171" s="33" t="str">
        <f aca="false">IF(AI171="","",MAX(AI171,MAX(AJ$5:AJ170),0))</f>
        <v/>
      </c>
      <c r="AK171" s="33" t="str">
        <f aca="false">IF(AI171="","",AI171-AJ171)</f>
        <v/>
      </c>
      <c r="AL171" s="25" t="str">
        <f aca="false">IF(AA171="","",IF(AA171&lt;0,N(AL170)+1,0))</f>
        <v/>
      </c>
      <c r="AM171" s="37" t="str">
        <f aca="false">IF(B171="","",B171-WEEKDAY(B171,2)+1)</f>
        <v/>
      </c>
    </row>
    <row r="172" customFormat="false" ht="15" hidden="false" customHeight="false" outlineLevel="0" collapsed="false">
      <c r="A172" s="25" t="str">
        <f aca="false">IF(B172="","",ROW()-4)</f>
        <v/>
      </c>
      <c r="B172" s="26"/>
      <c r="C172" s="27" t="str">
        <f aca="false">IF(B172="","",CHOOSE(WEEKDAY(B172,2),"Lundi","Mardi","Mercredi","Jeudi","Vendredi","Samedi","Dimanche"))</f>
        <v/>
      </c>
      <c r="D172" s="28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5" t="str">
        <f aca="false">IF(B172="","",OR(AND(H172="Achat",I172="Haussier"),AND(H172="Vente",I172="Baissier"))*1+OR(AND(H172="Achat",J172="Discount"),AND(H172="Vente",J172="Premium"))*1+AND(K172&lt;&gt;"",K172&lt;&gt;"Aucune")*1+OR(L172="CHoCH",L172="BOS")*1+(M172="Oui")*1+OR(G172="Londres",G172="New York")*1+(O172="Non")*1)</f>
        <v/>
      </c>
      <c r="Q172" s="27" t="str">
        <f aca="false">IF(P172="","",IF(P172=7,"A+",IF(P172&gt;=5,"B","C")))</f>
        <v/>
      </c>
      <c r="R172" s="29"/>
      <c r="S172" s="29"/>
      <c r="T172" s="27" t="str">
        <f aca="false">IF(OR(R172="",S172=""),"",R172+(R172-S172)*Paramètres!$B$6)</f>
        <v/>
      </c>
      <c r="U172" s="29"/>
      <c r="V172" s="27" t="str">
        <f aca="false">IF(OR(R172="",S172=""),"",ABS(R172-S172))</f>
        <v/>
      </c>
      <c r="W172" s="30" t="str">
        <f aca="false">IF(OR(U172="",V172="",N(V172)=0),"",ABS(U172-R172)/V172)</f>
        <v/>
      </c>
      <c r="X172" s="31"/>
      <c r="Y172" s="29"/>
      <c r="Z172" s="32"/>
      <c r="AA172" s="33" t="str">
        <f aca="false">IF(Y172="","",IF(Y172="Stop",-1,IF(Y172="BE",0,IF(Y172="TP1 + BE",Paramètres!$B$7*Paramètres!$B$6,IF(Y172="TP1 (100 %)",Paramètres!$B$6,IF(Y172="TP2",Paramètres!$B$7*Paramètres!$B$6+(1-Paramètres!$B$7)*N(W172),IF(Y172="Sortie manuelle",N(Z172),"")))))))</f>
        <v/>
      </c>
      <c r="AB172" s="34" t="str">
        <f aca="false">IF(AA172="","",AA172*IF(X172="",Paramètres!$B$5,X172))</f>
        <v/>
      </c>
      <c r="AC172" s="35" t="str">
        <f aca="false">IF(AB172="","",Paramètres!$B$4*(1+SUM(AB$5:AB172)))</f>
        <v/>
      </c>
      <c r="AD172" s="29"/>
      <c r="AE172" s="29"/>
      <c r="AF172" s="29"/>
      <c r="AG172" s="36"/>
      <c r="AH172" s="36"/>
      <c r="AI172" s="33" t="str">
        <f aca="false">IF(AA172="","",SUM(AA$5:AA172))</f>
        <v/>
      </c>
      <c r="AJ172" s="33" t="str">
        <f aca="false">IF(AI172="","",MAX(AI172,MAX(AJ$5:AJ171),0))</f>
        <v/>
      </c>
      <c r="AK172" s="33" t="str">
        <f aca="false">IF(AI172="","",AI172-AJ172)</f>
        <v/>
      </c>
      <c r="AL172" s="25" t="str">
        <f aca="false">IF(AA172="","",IF(AA172&lt;0,N(AL171)+1,0))</f>
        <v/>
      </c>
      <c r="AM172" s="37" t="str">
        <f aca="false">IF(B172="","",B172-WEEKDAY(B172,2)+1)</f>
        <v/>
      </c>
    </row>
    <row r="173" customFormat="false" ht="15" hidden="false" customHeight="false" outlineLevel="0" collapsed="false">
      <c r="A173" s="25" t="str">
        <f aca="false">IF(B173="","",ROW()-4)</f>
        <v/>
      </c>
      <c r="B173" s="26"/>
      <c r="C173" s="27" t="str">
        <f aca="false">IF(B173="","",CHOOSE(WEEKDAY(B173,2),"Lundi","Mardi","Mercredi","Jeudi","Vendredi","Samedi","Dimanche"))</f>
        <v/>
      </c>
      <c r="D173" s="28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5" t="str">
        <f aca="false">IF(B173="","",OR(AND(H173="Achat",I173="Haussier"),AND(H173="Vente",I173="Baissier"))*1+OR(AND(H173="Achat",J173="Discount"),AND(H173="Vente",J173="Premium"))*1+AND(K173&lt;&gt;"",K173&lt;&gt;"Aucune")*1+OR(L173="CHoCH",L173="BOS")*1+(M173="Oui")*1+OR(G173="Londres",G173="New York")*1+(O173="Non")*1)</f>
        <v/>
      </c>
      <c r="Q173" s="27" t="str">
        <f aca="false">IF(P173="","",IF(P173=7,"A+",IF(P173&gt;=5,"B","C")))</f>
        <v/>
      </c>
      <c r="R173" s="29"/>
      <c r="S173" s="29"/>
      <c r="T173" s="27" t="str">
        <f aca="false">IF(OR(R173="",S173=""),"",R173+(R173-S173)*Paramètres!$B$6)</f>
        <v/>
      </c>
      <c r="U173" s="29"/>
      <c r="V173" s="27" t="str">
        <f aca="false">IF(OR(R173="",S173=""),"",ABS(R173-S173))</f>
        <v/>
      </c>
      <c r="W173" s="30" t="str">
        <f aca="false">IF(OR(U173="",V173="",N(V173)=0),"",ABS(U173-R173)/V173)</f>
        <v/>
      </c>
      <c r="X173" s="31"/>
      <c r="Y173" s="29"/>
      <c r="Z173" s="32"/>
      <c r="AA173" s="33" t="str">
        <f aca="false">IF(Y173="","",IF(Y173="Stop",-1,IF(Y173="BE",0,IF(Y173="TP1 + BE",Paramètres!$B$7*Paramètres!$B$6,IF(Y173="TP1 (100 %)",Paramètres!$B$6,IF(Y173="TP2",Paramètres!$B$7*Paramètres!$B$6+(1-Paramètres!$B$7)*N(W173),IF(Y173="Sortie manuelle",N(Z173),"")))))))</f>
        <v/>
      </c>
      <c r="AB173" s="34" t="str">
        <f aca="false">IF(AA173="","",AA173*IF(X173="",Paramètres!$B$5,X173))</f>
        <v/>
      </c>
      <c r="AC173" s="35" t="str">
        <f aca="false">IF(AB173="","",Paramètres!$B$4*(1+SUM(AB$5:AB173)))</f>
        <v/>
      </c>
      <c r="AD173" s="29"/>
      <c r="AE173" s="29"/>
      <c r="AF173" s="29"/>
      <c r="AG173" s="36"/>
      <c r="AH173" s="36"/>
      <c r="AI173" s="33" t="str">
        <f aca="false">IF(AA173="","",SUM(AA$5:AA173))</f>
        <v/>
      </c>
      <c r="AJ173" s="33" t="str">
        <f aca="false">IF(AI173="","",MAX(AI173,MAX(AJ$5:AJ172),0))</f>
        <v/>
      </c>
      <c r="AK173" s="33" t="str">
        <f aca="false">IF(AI173="","",AI173-AJ173)</f>
        <v/>
      </c>
      <c r="AL173" s="25" t="str">
        <f aca="false">IF(AA173="","",IF(AA173&lt;0,N(AL172)+1,0))</f>
        <v/>
      </c>
      <c r="AM173" s="37" t="str">
        <f aca="false">IF(B173="","",B173-WEEKDAY(B173,2)+1)</f>
        <v/>
      </c>
    </row>
    <row r="174" customFormat="false" ht="15" hidden="false" customHeight="false" outlineLevel="0" collapsed="false">
      <c r="A174" s="25" t="str">
        <f aca="false">IF(B174="","",ROW()-4)</f>
        <v/>
      </c>
      <c r="B174" s="26"/>
      <c r="C174" s="27" t="str">
        <f aca="false">IF(B174="","",CHOOSE(WEEKDAY(B174,2),"Lundi","Mardi","Mercredi","Jeudi","Vendredi","Samedi","Dimanche"))</f>
        <v/>
      </c>
      <c r="D174" s="28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5" t="str">
        <f aca="false">IF(B174="","",OR(AND(H174="Achat",I174="Haussier"),AND(H174="Vente",I174="Baissier"))*1+OR(AND(H174="Achat",J174="Discount"),AND(H174="Vente",J174="Premium"))*1+AND(K174&lt;&gt;"",K174&lt;&gt;"Aucune")*1+OR(L174="CHoCH",L174="BOS")*1+(M174="Oui")*1+OR(G174="Londres",G174="New York")*1+(O174="Non")*1)</f>
        <v/>
      </c>
      <c r="Q174" s="27" t="str">
        <f aca="false">IF(P174="","",IF(P174=7,"A+",IF(P174&gt;=5,"B","C")))</f>
        <v/>
      </c>
      <c r="R174" s="29"/>
      <c r="S174" s="29"/>
      <c r="T174" s="27" t="str">
        <f aca="false">IF(OR(R174="",S174=""),"",R174+(R174-S174)*Paramètres!$B$6)</f>
        <v/>
      </c>
      <c r="U174" s="29"/>
      <c r="V174" s="27" t="str">
        <f aca="false">IF(OR(R174="",S174=""),"",ABS(R174-S174))</f>
        <v/>
      </c>
      <c r="W174" s="30" t="str">
        <f aca="false">IF(OR(U174="",V174="",N(V174)=0),"",ABS(U174-R174)/V174)</f>
        <v/>
      </c>
      <c r="X174" s="31"/>
      <c r="Y174" s="29"/>
      <c r="Z174" s="32"/>
      <c r="AA174" s="33" t="str">
        <f aca="false">IF(Y174="","",IF(Y174="Stop",-1,IF(Y174="BE",0,IF(Y174="TP1 + BE",Paramètres!$B$7*Paramètres!$B$6,IF(Y174="TP1 (100 %)",Paramètres!$B$6,IF(Y174="TP2",Paramètres!$B$7*Paramètres!$B$6+(1-Paramètres!$B$7)*N(W174),IF(Y174="Sortie manuelle",N(Z174),"")))))))</f>
        <v/>
      </c>
      <c r="AB174" s="34" t="str">
        <f aca="false">IF(AA174="","",AA174*IF(X174="",Paramètres!$B$5,X174))</f>
        <v/>
      </c>
      <c r="AC174" s="35" t="str">
        <f aca="false">IF(AB174="","",Paramètres!$B$4*(1+SUM(AB$5:AB174)))</f>
        <v/>
      </c>
      <c r="AD174" s="29"/>
      <c r="AE174" s="29"/>
      <c r="AF174" s="29"/>
      <c r="AG174" s="36"/>
      <c r="AH174" s="36"/>
      <c r="AI174" s="33" t="str">
        <f aca="false">IF(AA174="","",SUM(AA$5:AA174))</f>
        <v/>
      </c>
      <c r="AJ174" s="33" t="str">
        <f aca="false">IF(AI174="","",MAX(AI174,MAX(AJ$5:AJ173),0))</f>
        <v/>
      </c>
      <c r="AK174" s="33" t="str">
        <f aca="false">IF(AI174="","",AI174-AJ174)</f>
        <v/>
      </c>
      <c r="AL174" s="25" t="str">
        <f aca="false">IF(AA174="","",IF(AA174&lt;0,N(AL173)+1,0))</f>
        <v/>
      </c>
      <c r="AM174" s="37" t="str">
        <f aca="false">IF(B174="","",B174-WEEKDAY(B174,2)+1)</f>
        <v/>
      </c>
    </row>
    <row r="175" customFormat="false" ht="15" hidden="false" customHeight="false" outlineLevel="0" collapsed="false">
      <c r="A175" s="25" t="str">
        <f aca="false">IF(B175="","",ROW()-4)</f>
        <v/>
      </c>
      <c r="B175" s="26"/>
      <c r="C175" s="27" t="str">
        <f aca="false">IF(B175="","",CHOOSE(WEEKDAY(B175,2),"Lundi","Mardi","Mercredi","Jeudi","Vendredi","Samedi","Dimanche"))</f>
        <v/>
      </c>
      <c r="D175" s="28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5" t="str">
        <f aca="false">IF(B175="","",OR(AND(H175="Achat",I175="Haussier"),AND(H175="Vente",I175="Baissier"))*1+OR(AND(H175="Achat",J175="Discount"),AND(H175="Vente",J175="Premium"))*1+AND(K175&lt;&gt;"",K175&lt;&gt;"Aucune")*1+OR(L175="CHoCH",L175="BOS")*1+(M175="Oui")*1+OR(G175="Londres",G175="New York")*1+(O175="Non")*1)</f>
        <v/>
      </c>
      <c r="Q175" s="27" t="str">
        <f aca="false">IF(P175="","",IF(P175=7,"A+",IF(P175&gt;=5,"B","C")))</f>
        <v/>
      </c>
      <c r="R175" s="29"/>
      <c r="S175" s="29"/>
      <c r="T175" s="27" t="str">
        <f aca="false">IF(OR(R175="",S175=""),"",R175+(R175-S175)*Paramètres!$B$6)</f>
        <v/>
      </c>
      <c r="U175" s="29"/>
      <c r="V175" s="27" t="str">
        <f aca="false">IF(OR(R175="",S175=""),"",ABS(R175-S175))</f>
        <v/>
      </c>
      <c r="W175" s="30" t="str">
        <f aca="false">IF(OR(U175="",V175="",N(V175)=0),"",ABS(U175-R175)/V175)</f>
        <v/>
      </c>
      <c r="X175" s="31"/>
      <c r="Y175" s="29"/>
      <c r="Z175" s="32"/>
      <c r="AA175" s="33" t="str">
        <f aca="false">IF(Y175="","",IF(Y175="Stop",-1,IF(Y175="BE",0,IF(Y175="TP1 + BE",Paramètres!$B$7*Paramètres!$B$6,IF(Y175="TP1 (100 %)",Paramètres!$B$6,IF(Y175="TP2",Paramètres!$B$7*Paramètres!$B$6+(1-Paramètres!$B$7)*N(W175),IF(Y175="Sortie manuelle",N(Z175),"")))))))</f>
        <v/>
      </c>
      <c r="AB175" s="34" t="str">
        <f aca="false">IF(AA175="","",AA175*IF(X175="",Paramètres!$B$5,X175))</f>
        <v/>
      </c>
      <c r="AC175" s="35" t="str">
        <f aca="false">IF(AB175="","",Paramètres!$B$4*(1+SUM(AB$5:AB175)))</f>
        <v/>
      </c>
      <c r="AD175" s="29"/>
      <c r="AE175" s="29"/>
      <c r="AF175" s="29"/>
      <c r="AG175" s="36"/>
      <c r="AH175" s="36"/>
      <c r="AI175" s="33" t="str">
        <f aca="false">IF(AA175="","",SUM(AA$5:AA175))</f>
        <v/>
      </c>
      <c r="AJ175" s="33" t="str">
        <f aca="false">IF(AI175="","",MAX(AI175,MAX(AJ$5:AJ174),0))</f>
        <v/>
      </c>
      <c r="AK175" s="33" t="str">
        <f aca="false">IF(AI175="","",AI175-AJ175)</f>
        <v/>
      </c>
      <c r="AL175" s="25" t="str">
        <f aca="false">IF(AA175="","",IF(AA175&lt;0,N(AL174)+1,0))</f>
        <v/>
      </c>
      <c r="AM175" s="37" t="str">
        <f aca="false">IF(B175="","",B175-WEEKDAY(B175,2)+1)</f>
        <v/>
      </c>
    </row>
    <row r="176" customFormat="false" ht="15" hidden="false" customHeight="false" outlineLevel="0" collapsed="false">
      <c r="A176" s="25" t="str">
        <f aca="false">IF(B176="","",ROW()-4)</f>
        <v/>
      </c>
      <c r="B176" s="26"/>
      <c r="C176" s="27" t="str">
        <f aca="false">IF(B176="","",CHOOSE(WEEKDAY(B176,2),"Lundi","Mardi","Mercredi","Jeudi","Vendredi","Samedi","Dimanche"))</f>
        <v/>
      </c>
      <c r="D176" s="28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5" t="str">
        <f aca="false">IF(B176="","",OR(AND(H176="Achat",I176="Haussier"),AND(H176="Vente",I176="Baissier"))*1+OR(AND(H176="Achat",J176="Discount"),AND(H176="Vente",J176="Premium"))*1+AND(K176&lt;&gt;"",K176&lt;&gt;"Aucune")*1+OR(L176="CHoCH",L176="BOS")*1+(M176="Oui")*1+OR(G176="Londres",G176="New York")*1+(O176="Non")*1)</f>
        <v/>
      </c>
      <c r="Q176" s="27" t="str">
        <f aca="false">IF(P176="","",IF(P176=7,"A+",IF(P176&gt;=5,"B","C")))</f>
        <v/>
      </c>
      <c r="R176" s="29"/>
      <c r="S176" s="29"/>
      <c r="T176" s="27" t="str">
        <f aca="false">IF(OR(R176="",S176=""),"",R176+(R176-S176)*Paramètres!$B$6)</f>
        <v/>
      </c>
      <c r="U176" s="29"/>
      <c r="V176" s="27" t="str">
        <f aca="false">IF(OR(R176="",S176=""),"",ABS(R176-S176))</f>
        <v/>
      </c>
      <c r="W176" s="30" t="str">
        <f aca="false">IF(OR(U176="",V176="",N(V176)=0),"",ABS(U176-R176)/V176)</f>
        <v/>
      </c>
      <c r="X176" s="31"/>
      <c r="Y176" s="29"/>
      <c r="Z176" s="32"/>
      <c r="AA176" s="33" t="str">
        <f aca="false">IF(Y176="","",IF(Y176="Stop",-1,IF(Y176="BE",0,IF(Y176="TP1 + BE",Paramètres!$B$7*Paramètres!$B$6,IF(Y176="TP1 (100 %)",Paramètres!$B$6,IF(Y176="TP2",Paramètres!$B$7*Paramètres!$B$6+(1-Paramètres!$B$7)*N(W176),IF(Y176="Sortie manuelle",N(Z176),"")))))))</f>
        <v/>
      </c>
      <c r="AB176" s="34" t="str">
        <f aca="false">IF(AA176="","",AA176*IF(X176="",Paramètres!$B$5,X176))</f>
        <v/>
      </c>
      <c r="AC176" s="35" t="str">
        <f aca="false">IF(AB176="","",Paramètres!$B$4*(1+SUM(AB$5:AB176)))</f>
        <v/>
      </c>
      <c r="AD176" s="29"/>
      <c r="AE176" s="29"/>
      <c r="AF176" s="29"/>
      <c r="AG176" s="36"/>
      <c r="AH176" s="36"/>
      <c r="AI176" s="33" t="str">
        <f aca="false">IF(AA176="","",SUM(AA$5:AA176))</f>
        <v/>
      </c>
      <c r="AJ176" s="33" t="str">
        <f aca="false">IF(AI176="","",MAX(AI176,MAX(AJ$5:AJ175),0))</f>
        <v/>
      </c>
      <c r="AK176" s="33" t="str">
        <f aca="false">IF(AI176="","",AI176-AJ176)</f>
        <v/>
      </c>
      <c r="AL176" s="25" t="str">
        <f aca="false">IF(AA176="","",IF(AA176&lt;0,N(AL175)+1,0))</f>
        <v/>
      </c>
      <c r="AM176" s="37" t="str">
        <f aca="false">IF(B176="","",B176-WEEKDAY(B176,2)+1)</f>
        <v/>
      </c>
    </row>
    <row r="177" customFormat="false" ht="15" hidden="false" customHeight="false" outlineLevel="0" collapsed="false">
      <c r="A177" s="25" t="str">
        <f aca="false">IF(B177="","",ROW()-4)</f>
        <v/>
      </c>
      <c r="B177" s="26"/>
      <c r="C177" s="27" t="str">
        <f aca="false">IF(B177="","",CHOOSE(WEEKDAY(B177,2),"Lundi","Mardi","Mercredi","Jeudi","Vendredi","Samedi","Dimanche"))</f>
        <v/>
      </c>
      <c r="D177" s="28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5" t="str">
        <f aca="false">IF(B177="","",OR(AND(H177="Achat",I177="Haussier"),AND(H177="Vente",I177="Baissier"))*1+OR(AND(H177="Achat",J177="Discount"),AND(H177="Vente",J177="Premium"))*1+AND(K177&lt;&gt;"",K177&lt;&gt;"Aucune")*1+OR(L177="CHoCH",L177="BOS")*1+(M177="Oui")*1+OR(G177="Londres",G177="New York")*1+(O177="Non")*1)</f>
        <v/>
      </c>
      <c r="Q177" s="27" t="str">
        <f aca="false">IF(P177="","",IF(P177=7,"A+",IF(P177&gt;=5,"B","C")))</f>
        <v/>
      </c>
      <c r="R177" s="29"/>
      <c r="S177" s="29"/>
      <c r="T177" s="27" t="str">
        <f aca="false">IF(OR(R177="",S177=""),"",R177+(R177-S177)*Paramètres!$B$6)</f>
        <v/>
      </c>
      <c r="U177" s="29"/>
      <c r="V177" s="27" t="str">
        <f aca="false">IF(OR(R177="",S177=""),"",ABS(R177-S177))</f>
        <v/>
      </c>
      <c r="W177" s="30" t="str">
        <f aca="false">IF(OR(U177="",V177="",N(V177)=0),"",ABS(U177-R177)/V177)</f>
        <v/>
      </c>
      <c r="X177" s="31"/>
      <c r="Y177" s="29"/>
      <c r="Z177" s="32"/>
      <c r="AA177" s="33" t="str">
        <f aca="false">IF(Y177="","",IF(Y177="Stop",-1,IF(Y177="BE",0,IF(Y177="TP1 + BE",Paramètres!$B$7*Paramètres!$B$6,IF(Y177="TP1 (100 %)",Paramètres!$B$6,IF(Y177="TP2",Paramètres!$B$7*Paramètres!$B$6+(1-Paramètres!$B$7)*N(W177),IF(Y177="Sortie manuelle",N(Z177),"")))))))</f>
        <v/>
      </c>
      <c r="AB177" s="34" t="str">
        <f aca="false">IF(AA177="","",AA177*IF(X177="",Paramètres!$B$5,X177))</f>
        <v/>
      </c>
      <c r="AC177" s="35" t="str">
        <f aca="false">IF(AB177="","",Paramètres!$B$4*(1+SUM(AB$5:AB177)))</f>
        <v/>
      </c>
      <c r="AD177" s="29"/>
      <c r="AE177" s="29"/>
      <c r="AF177" s="29"/>
      <c r="AG177" s="36"/>
      <c r="AH177" s="36"/>
      <c r="AI177" s="33" t="str">
        <f aca="false">IF(AA177="","",SUM(AA$5:AA177))</f>
        <v/>
      </c>
      <c r="AJ177" s="33" t="str">
        <f aca="false">IF(AI177="","",MAX(AI177,MAX(AJ$5:AJ176),0))</f>
        <v/>
      </c>
      <c r="AK177" s="33" t="str">
        <f aca="false">IF(AI177="","",AI177-AJ177)</f>
        <v/>
      </c>
      <c r="AL177" s="25" t="str">
        <f aca="false">IF(AA177="","",IF(AA177&lt;0,N(AL176)+1,0))</f>
        <v/>
      </c>
      <c r="AM177" s="37" t="str">
        <f aca="false">IF(B177="","",B177-WEEKDAY(B177,2)+1)</f>
        <v/>
      </c>
    </row>
    <row r="178" customFormat="false" ht="15" hidden="false" customHeight="false" outlineLevel="0" collapsed="false">
      <c r="A178" s="25" t="str">
        <f aca="false">IF(B178="","",ROW()-4)</f>
        <v/>
      </c>
      <c r="B178" s="26"/>
      <c r="C178" s="27" t="str">
        <f aca="false">IF(B178="","",CHOOSE(WEEKDAY(B178,2),"Lundi","Mardi","Mercredi","Jeudi","Vendredi","Samedi","Dimanche"))</f>
        <v/>
      </c>
      <c r="D178" s="28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5" t="str">
        <f aca="false">IF(B178="","",OR(AND(H178="Achat",I178="Haussier"),AND(H178="Vente",I178="Baissier"))*1+OR(AND(H178="Achat",J178="Discount"),AND(H178="Vente",J178="Premium"))*1+AND(K178&lt;&gt;"",K178&lt;&gt;"Aucune")*1+OR(L178="CHoCH",L178="BOS")*1+(M178="Oui")*1+OR(G178="Londres",G178="New York")*1+(O178="Non")*1)</f>
        <v/>
      </c>
      <c r="Q178" s="27" t="str">
        <f aca="false">IF(P178="","",IF(P178=7,"A+",IF(P178&gt;=5,"B","C")))</f>
        <v/>
      </c>
      <c r="R178" s="29"/>
      <c r="S178" s="29"/>
      <c r="T178" s="27" t="str">
        <f aca="false">IF(OR(R178="",S178=""),"",R178+(R178-S178)*Paramètres!$B$6)</f>
        <v/>
      </c>
      <c r="U178" s="29"/>
      <c r="V178" s="27" t="str">
        <f aca="false">IF(OR(R178="",S178=""),"",ABS(R178-S178))</f>
        <v/>
      </c>
      <c r="W178" s="30" t="str">
        <f aca="false">IF(OR(U178="",V178="",N(V178)=0),"",ABS(U178-R178)/V178)</f>
        <v/>
      </c>
      <c r="X178" s="31"/>
      <c r="Y178" s="29"/>
      <c r="Z178" s="32"/>
      <c r="AA178" s="33" t="str">
        <f aca="false">IF(Y178="","",IF(Y178="Stop",-1,IF(Y178="BE",0,IF(Y178="TP1 + BE",Paramètres!$B$7*Paramètres!$B$6,IF(Y178="TP1 (100 %)",Paramètres!$B$6,IF(Y178="TP2",Paramètres!$B$7*Paramètres!$B$6+(1-Paramètres!$B$7)*N(W178),IF(Y178="Sortie manuelle",N(Z178),"")))))))</f>
        <v/>
      </c>
      <c r="AB178" s="34" t="str">
        <f aca="false">IF(AA178="","",AA178*IF(X178="",Paramètres!$B$5,X178))</f>
        <v/>
      </c>
      <c r="AC178" s="35" t="str">
        <f aca="false">IF(AB178="","",Paramètres!$B$4*(1+SUM(AB$5:AB178)))</f>
        <v/>
      </c>
      <c r="AD178" s="29"/>
      <c r="AE178" s="29"/>
      <c r="AF178" s="29"/>
      <c r="AG178" s="36"/>
      <c r="AH178" s="36"/>
      <c r="AI178" s="33" t="str">
        <f aca="false">IF(AA178="","",SUM(AA$5:AA178))</f>
        <v/>
      </c>
      <c r="AJ178" s="33" t="str">
        <f aca="false">IF(AI178="","",MAX(AI178,MAX(AJ$5:AJ177),0))</f>
        <v/>
      </c>
      <c r="AK178" s="33" t="str">
        <f aca="false">IF(AI178="","",AI178-AJ178)</f>
        <v/>
      </c>
      <c r="AL178" s="25" t="str">
        <f aca="false">IF(AA178="","",IF(AA178&lt;0,N(AL177)+1,0))</f>
        <v/>
      </c>
      <c r="AM178" s="37" t="str">
        <f aca="false">IF(B178="","",B178-WEEKDAY(B178,2)+1)</f>
        <v/>
      </c>
    </row>
    <row r="179" customFormat="false" ht="15" hidden="false" customHeight="false" outlineLevel="0" collapsed="false">
      <c r="A179" s="25" t="str">
        <f aca="false">IF(B179="","",ROW()-4)</f>
        <v/>
      </c>
      <c r="B179" s="26"/>
      <c r="C179" s="27" t="str">
        <f aca="false">IF(B179="","",CHOOSE(WEEKDAY(B179,2),"Lundi","Mardi","Mercredi","Jeudi","Vendredi","Samedi","Dimanche"))</f>
        <v/>
      </c>
      <c r="D179" s="28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5" t="str">
        <f aca="false">IF(B179="","",OR(AND(H179="Achat",I179="Haussier"),AND(H179="Vente",I179="Baissier"))*1+OR(AND(H179="Achat",J179="Discount"),AND(H179="Vente",J179="Premium"))*1+AND(K179&lt;&gt;"",K179&lt;&gt;"Aucune")*1+OR(L179="CHoCH",L179="BOS")*1+(M179="Oui")*1+OR(G179="Londres",G179="New York")*1+(O179="Non")*1)</f>
        <v/>
      </c>
      <c r="Q179" s="27" t="str">
        <f aca="false">IF(P179="","",IF(P179=7,"A+",IF(P179&gt;=5,"B","C")))</f>
        <v/>
      </c>
      <c r="R179" s="29"/>
      <c r="S179" s="29"/>
      <c r="T179" s="27" t="str">
        <f aca="false">IF(OR(R179="",S179=""),"",R179+(R179-S179)*Paramètres!$B$6)</f>
        <v/>
      </c>
      <c r="U179" s="29"/>
      <c r="V179" s="27" t="str">
        <f aca="false">IF(OR(R179="",S179=""),"",ABS(R179-S179))</f>
        <v/>
      </c>
      <c r="W179" s="30" t="str">
        <f aca="false">IF(OR(U179="",V179="",N(V179)=0),"",ABS(U179-R179)/V179)</f>
        <v/>
      </c>
      <c r="X179" s="31"/>
      <c r="Y179" s="29"/>
      <c r="Z179" s="32"/>
      <c r="AA179" s="33" t="str">
        <f aca="false">IF(Y179="","",IF(Y179="Stop",-1,IF(Y179="BE",0,IF(Y179="TP1 + BE",Paramètres!$B$7*Paramètres!$B$6,IF(Y179="TP1 (100 %)",Paramètres!$B$6,IF(Y179="TP2",Paramètres!$B$7*Paramètres!$B$6+(1-Paramètres!$B$7)*N(W179),IF(Y179="Sortie manuelle",N(Z179),"")))))))</f>
        <v/>
      </c>
      <c r="AB179" s="34" t="str">
        <f aca="false">IF(AA179="","",AA179*IF(X179="",Paramètres!$B$5,X179))</f>
        <v/>
      </c>
      <c r="AC179" s="35" t="str">
        <f aca="false">IF(AB179="","",Paramètres!$B$4*(1+SUM(AB$5:AB179)))</f>
        <v/>
      </c>
      <c r="AD179" s="29"/>
      <c r="AE179" s="29"/>
      <c r="AF179" s="29"/>
      <c r="AG179" s="36"/>
      <c r="AH179" s="36"/>
      <c r="AI179" s="33" t="str">
        <f aca="false">IF(AA179="","",SUM(AA$5:AA179))</f>
        <v/>
      </c>
      <c r="AJ179" s="33" t="str">
        <f aca="false">IF(AI179="","",MAX(AI179,MAX(AJ$5:AJ178),0))</f>
        <v/>
      </c>
      <c r="AK179" s="33" t="str">
        <f aca="false">IF(AI179="","",AI179-AJ179)</f>
        <v/>
      </c>
      <c r="AL179" s="25" t="str">
        <f aca="false">IF(AA179="","",IF(AA179&lt;0,N(AL178)+1,0))</f>
        <v/>
      </c>
      <c r="AM179" s="37" t="str">
        <f aca="false">IF(B179="","",B179-WEEKDAY(B179,2)+1)</f>
        <v/>
      </c>
    </row>
    <row r="180" customFormat="false" ht="15" hidden="false" customHeight="false" outlineLevel="0" collapsed="false">
      <c r="A180" s="25" t="str">
        <f aca="false">IF(B180="","",ROW()-4)</f>
        <v/>
      </c>
      <c r="B180" s="26"/>
      <c r="C180" s="27" t="str">
        <f aca="false">IF(B180="","",CHOOSE(WEEKDAY(B180,2),"Lundi","Mardi","Mercredi","Jeudi","Vendredi","Samedi","Dimanche"))</f>
        <v/>
      </c>
      <c r="D180" s="28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5" t="str">
        <f aca="false">IF(B180="","",OR(AND(H180="Achat",I180="Haussier"),AND(H180="Vente",I180="Baissier"))*1+OR(AND(H180="Achat",J180="Discount"),AND(H180="Vente",J180="Premium"))*1+AND(K180&lt;&gt;"",K180&lt;&gt;"Aucune")*1+OR(L180="CHoCH",L180="BOS")*1+(M180="Oui")*1+OR(G180="Londres",G180="New York")*1+(O180="Non")*1)</f>
        <v/>
      </c>
      <c r="Q180" s="27" t="str">
        <f aca="false">IF(P180="","",IF(P180=7,"A+",IF(P180&gt;=5,"B","C")))</f>
        <v/>
      </c>
      <c r="R180" s="29"/>
      <c r="S180" s="29"/>
      <c r="T180" s="27" t="str">
        <f aca="false">IF(OR(R180="",S180=""),"",R180+(R180-S180)*Paramètres!$B$6)</f>
        <v/>
      </c>
      <c r="U180" s="29"/>
      <c r="V180" s="27" t="str">
        <f aca="false">IF(OR(R180="",S180=""),"",ABS(R180-S180))</f>
        <v/>
      </c>
      <c r="W180" s="30" t="str">
        <f aca="false">IF(OR(U180="",V180="",N(V180)=0),"",ABS(U180-R180)/V180)</f>
        <v/>
      </c>
      <c r="X180" s="31"/>
      <c r="Y180" s="29"/>
      <c r="Z180" s="32"/>
      <c r="AA180" s="33" t="str">
        <f aca="false">IF(Y180="","",IF(Y180="Stop",-1,IF(Y180="BE",0,IF(Y180="TP1 + BE",Paramètres!$B$7*Paramètres!$B$6,IF(Y180="TP1 (100 %)",Paramètres!$B$6,IF(Y180="TP2",Paramètres!$B$7*Paramètres!$B$6+(1-Paramètres!$B$7)*N(W180),IF(Y180="Sortie manuelle",N(Z180),"")))))))</f>
        <v/>
      </c>
      <c r="AB180" s="34" t="str">
        <f aca="false">IF(AA180="","",AA180*IF(X180="",Paramètres!$B$5,X180))</f>
        <v/>
      </c>
      <c r="AC180" s="35" t="str">
        <f aca="false">IF(AB180="","",Paramètres!$B$4*(1+SUM(AB$5:AB180)))</f>
        <v/>
      </c>
      <c r="AD180" s="29"/>
      <c r="AE180" s="29"/>
      <c r="AF180" s="29"/>
      <c r="AG180" s="36"/>
      <c r="AH180" s="36"/>
      <c r="AI180" s="33" t="str">
        <f aca="false">IF(AA180="","",SUM(AA$5:AA180))</f>
        <v/>
      </c>
      <c r="AJ180" s="33" t="str">
        <f aca="false">IF(AI180="","",MAX(AI180,MAX(AJ$5:AJ179),0))</f>
        <v/>
      </c>
      <c r="AK180" s="33" t="str">
        <f aca="false">IF(AI180="","",AI180-AJ180)</f>
        <v/>
      </c>
      <c r="AL180" s="25" t="str">
        <f aca="false">IF(AA180="","",IF(AA180&lt;0,N(AL179)+1,0))</f>
        <v/>
      </c>
      <c r="AM180" s="37" t="str">
        <f aca="false">IF(B180="","",B180-WEEKDAY(B180,2)+1)</f>
        <v/>
      </c>
    </row>
    <row r="181" customFormat="false" ht="15" hidden="false" customHeight="false" outlineLevel="0" collapsed="false">
      <c r="A181" s="25" t="str">
        <f aca="false">IF(B181="","",ROW()-4)</f>
        <v/>
      </c>
      <c r="B181" s="26"/>
      <c r="C181" s="27" t="str">
        <f aca="false">IF(B181="","",CHOOSE(WEEKDAY(B181,2),"Lundi","Mardi","Mercredi","Jeudi","Vendredi","Samedi","Dimanche"))</f>
        <v/>
      </c>
      <c r="D181" s="28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5" t="str">
        <f aca="false">IF(B181="","",OR(AND(H181="Achat",I181="Haussier"),AND(H181="Vente",I181="Baissier"))*1+OR(AND(H181="Achat",J181="Discount"),AND(H181="Vente",J181="Premium"))*1+AND(K181&lt;&gt;"",K181&lt;&gt;"Aucune")*1+OR(L181="CHoCH",L181="BOS")*1+(M181="Oui")*1+OR(G181="Londres",G181="New York")*1+(O181="Non")*1)</f>
        <v/>
      </c>
      <c r="Q181" s="27" t="str">
        <f aca="false">IF(P181="","",IF(P181=7,"A+",IF(P181&gt;=5,"B","C")))</f>
        <v/>
      </c>
      <c r="R181" s="29"/>
      <c r="S181" s="29"/>
      <c r="T181" s="27" t="str">
        <f aca="false">IF(OR(R181="",S181=""),"",R181+(R181-S181)*Paramètres!$B$6)</f>
        <v/>
      </c>
      <c r="U181" s="29"/>
      <c r="V181" s="27" t="str">
        <f aca="false">IF(OR(R181="",S181=""),"",ABS(R181-S181))</f>
        <v/>
      </c>
      <c r="W181" s="30" t="str">
        <f aca="false">IF(OR(U181="",V181="",N(V181)=0),"",ABS(U181-R181)/V181)</f>
        <v/>
      </c>
      <c r="X181" s="31"/>
      <c r="Y181" s="29"/>
      <c r="Z181" s="32"/>
      <c r="AA181" s="33" t="str">
        <f aca="false">IF(Y181="","",IF(Y181="Stop",-1,IF(Y181="BE",0,IF(Y181="TP1 + BE",Paramètres!$B$7*Paramètres!$B$6,IF(Y181="TP1 (100 %)",Paramètres!$B$6,IF(Y181="TP2",Paramètres!$B$7*Paramètres!$B$6+(1-Paramètres!$B$7)*N(W181),IF(Y181="Sortie manuelle",N(Z181),"")))))))</f>
        <v/>
      </c>
      <c r="AB181" s="34" t="str">
        <f aca="false">IF(AA181="","",AA181*IF(X181="",Paramètres!$B$5,X181))</f>
        <v/>
      </c>
      <c r="AC181" s="35" t="str">
        <f aca="false">IF(AB181="","",Paramètres!$B$4*(1+SUM(AB$5:AB181)))</f>
        <v/>
      </c>
      <c r="AD181" s="29"/>
      <c r="AE181" s="29"/>
      <c r="AF181" s="29"/>
      <c r="AG181" s="36"/>
      <c r="AH181" s="36"/>
      <c r="AI181" s="33" t="str">
        <f aca="false">IF(AA181="","",SUM(AA$5:AA181))</f>
        <v/>
      </c>
      <c r="AJ181" s="33" t="str">
        <f aca="false">IF(AI181="","",MAX(AI181,MAX(AJ$5:AJ180),0))</f>
        <v/>
      </c>
      <c r="AK181" s="33" t="str">
        <f aca="false">IF(AI181="","",AI181-AJ181)</f>
        <v/>
      </c>
      <c r="AL181" s="25" t="str">
        <f aca="false">IF(AA181="","",IF(AA181&lt;0,N(AL180)+1,0))</f>
        <v/>
      </c>
      <c r="AM181" s="37" t="str">
        <f aca="false">IF(B181="","",B181-WEEKDAY(B181,2)+1)</f>
        <v/>
      </c>
    </row>
    <row r="182" customFormat="false" ht="15" hidden="false" customHeight="false" outlineLevel="0" collapsed="false">
      <c r="A182" s="25" t="str">
        <f aca="false">IF(B182="","",ROW()-4)</f>
        <v/>
      </c>
      <c r="B182" s="26"/>
      <c r="C182" s="27" t="str">
        <f aca="false">IF(B182="","",CHOOSE(WEEKDAY(B182,2),"Lundi","Mardi","Mercredi","Jeudi","Vendredi","Samedi","Dimanche"))</f>
        <v/>
      </c>
      <c r="D182" s="28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5" t="str">
        <f aca="false">IF(B182="","",OR(AND(H182="Achat",I182="Haussier"),AND(H182="Vente",I182="Baissier"))*1+OR(AND(H182="Achat",J182="Discount"),AND(H182="Vente",J182="Premium"))*1+AND(K182&lt;&gt;"",K182&lt;&gt;"Aucune")*1+OR(L182="CHoCH",L182="BOS")*1+(M182="Oui")*1+OR(G182="Londres",G182="New York")*1+(O182="Non")*1)</f>
        <v/>
      </c>
      <c r="Q182" s="27" t="str">
        <f aca="false">IF(P182="","",IF(P182=7,"A+",IF(P182&gt;=5,"B","C")))</f>
        <v/>
      </c>
      <c r="R182" s="29"/>
      <c r="S182" s="29"/>
      <c r="T182" s="27" t="str">
        <f aca="false">IF(OR(R182="",S182=""),"",R182+(R182-S182)*Paramètres!$B$6)</f>
        <v/>
      </c>
      <c r="U182" s="29"/>
      <c r="V182" s="27" t="str">
        <f aca="false">IF(OR(R182="",S182=""),"",ABS(R182-S182))</f>
        <v/>
      </c>
      <c r="W182" s="30" t="str">
        <f aca="false">IF(OR(U182="",V182="",N(V182)=0),"",ABS(U182-R182)/V182)</f>
        <v/>
      </c>
      <c r="X182" s="31"/>
      <c r="Y182" s="29"/>
      <c r="Z182" s="32"/>
      <c r="AA182" s="33" t="str">
        <f aca="false">IF(Y182="","",IF(Y182="Stop",-1,IF(Y182="BE",0,IF(Y182="TP1 + BE",Paramètres!$B$7*Paramètres!$B$6,IF(Y182="TP1 (100 %)",Paramètres!$B$6,IF(Y182="TP2",Paramètres!$B$7*Paramètres!$B$6+(1-Paramètres!$B$7)*N(W182),IF(Y182="Sortie manuelle",N(Z182),"")))))))</f>
        <v/>
      </c>
      <c r="AB182" s="34" t="str">
        <f aca="false">IF(AA182="","",AA182*IF(X182="",Paramètres!$B$5,X182))</f>
        <v/>
      </c>
      <c r="AC182" s="35" t="str">
        <f aca="false">IF(AB182="","",Paramètres!$B$4*(1+SUM(AB$5:AB182)))</f>
        <v/>
      </c>
      <c r="AD182" s="29"/>
      <c r="AE182" s="29"/>
      <c r="AF182" s="29"/>
      <c r="AG182" s="36"/>
      <c r="AH182" s="36"/>
      <c r="AI182" s="33" t="str">
        <f aca="false">IF(AA182="","",SUM(AA$5:AA182))</f>
        <v/>
      </c>
      <c r="AJ182" s="33" t="str">
        <f aca="false">IF(AI182="","",MAX(AI182,MAX(AJ$5:AJ181),0))</f>
        <v/>
      </c>
      <c r="AK182" s="33" t="str">
        <f aca="false">IF(AI182="","",AI182-AJ182)</f>
        <v/>
      </c>
      <c r="AL182" s="25" t="str">
        <f aca="false">IF(AA182="","",IF(AA182&lt;0,N(AL181)+1,0))</f>
        <v/>
      </c>
      <c r="AM182" s="37" t="str">
        <f aca="false">IF(B182="","",B182-WEEKDAY(B182,2)+1)</f>
        <v/>
      </c>
    </row>
    <row r="183" customFormat="false" ht="15" hidden="false" customHeight="false" outlineLevel="0" collapsed="false">
      <c r="A183" s="25" t="str">
        <f aca="false">IF(B183="","",ROW()-4)</f>
        <v/>
      </c>
      <c r="B183" s="26"/>
      <c r="C183" s="27" t="str">
        <f aca="false">IF(B183="","",CHOOSE(WEEKDAY(B183,2),"Lundi","Mardi","Mercredi","Jeudi","Vendredi","Samedi","Dimanche"))</f>
        <v/>
      </c>
      <c r="D183" s="28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5" t="str">
        <f aca="false">IF(B183="","",OR(AND(H183="Achat",I183="Haussier"),AND(H183="Vente",I183="Baissier"))*1+OR(AND(H183="Achat",J183="Discount"),AND(H183="Vente",J183="Premium"))*1+AND(K183&lt;&gt;"",K183&lt;&gt;"Aucune")*1+OR(L183="CHoCH",L183="BOS")*1+(M183="Oui")*1+OR(G183="Londres",G183="New York")*1+(O183="Non")*1)</f>
        <v/>
      </c>
      <c r="Q183" s="27" t="str">
        <f aca="false">IF(P183="","",IF(P183=7,"A+",IF(P183&gt;=5,"B","C")))</f>
        <v/>
      </c>
      <c r="R183" s="29"/>
      <c r="S183" s="29"/>
      <c r="T183" s="27" t="str">
        <f aca="false">IF(OR(R183="",S183=""),"",R183+(R183-S183)*Paramètres!$B$6)</f>
        <v/>
      </c>
      <c r="U183" s="29"/>
      <c r="V183" s="27" t="str">
        <f aca="false">IF(OR(R183="",S183=""),"",ABS(R183-S183))</f>
        <v/>
      </c>
      <c r="W183" s="30" t="str">
        <f aca="false">IF(OR(U183="",V183="",N(V183)=0),"",ABS(U183-R183)/V183)</f>
        <v/>
      </c>
      <c r="X183" s="31"/>
      <c r="Y183" s="29"/>
      <c r="Z183" s="32"/>
      <c r="AA183" s="33" t="str">
        <f aca="false">IF(Y183="","",IF(Y183="Stop",-1,IF(Y183="BE",0,IF(Y183="TP1 + BE",Paramètres!$B$7*Paramètres!$B$6,IF(Y183="TP1 (100 %)",Paramètres!$B$6,IF(Y183="TP2",Paramètres!$B$7*Paramètres!$B$6+(1-Paramètres!$B$7)*N(W183),IF(Y183="Sortie manuelle",N(Z183),"")))))))</f>
        <v/>
      </c>
      <c r="AB183" s="34" t="str">
        <f aca="false">IF(AA183="","",AA183*IF(X183="",Paramètres!$B$5,X183))</f>
        <v/>
      </c>
      <c r="AC183" s="35" t="str">
        <f aca="false">IF(AB183="","",Paramètres!$B$4*(1+SUM(AB$5:AB183)))</f>
        <v/>
      </c>
      <c r="AD183" s="29"/>
      <c r="AE183" s="29"/>
      <c r="AF183" s="29"/>
      <c r="AG183" s="36"/>
      <c r="AH183" s="36"/>
      <c r="AI183" s="33" t="str">
        <f aca="false">IF(AA183="","",SUM(AA$5:AA183))</f>
        <v/>
      </c>
      <c r="AJ183" s="33" t="str">
        <f aca="false">IF(AI183="","",MAX(AI183,MAX(AJ$5:AJ182),0))</f>
        <v/>
      </c>
      <c r="AK183" s="33" t="str">
        <f aca="false">IF(AI183="","",AI183-AJ183)</f>
        <v/>
      </c>
      <c r="AL183" s="25" t="str">
        <f aca="false">IF(AA183="","",IF(AA183&lt;0,N(AL182)+1,0))</f>
        <v/>
      </c>
      <c r="AM183" s="37" t="str">
        <f aca="false">IF(B183="","",B183-WEEKDAY(B183,2)+1)</f>
        <v/>
      </c>
    </row>
    <row r="184" customFormat="false" ht="15" hidden="false" customHeight="false" outlineLevel="0" collapsed="false">
      <c r="A184" s="25" t="str">
        <f aca="false">IF(B184="","",ROW()-4)</f>
        <v/>
      </c>
      <c r="B184" s="26"/>
      <c r="C184" s="27" t="str">
        <f aca="false">IF(B184="","",CHOOSE(WEEKDAY(B184,2),"Lundi","Mardi","Mercredi","Jeudi","Vendredi","Samedi","Dimanche"))</f>
        <v/>
      </c>
      <c r="D184" s="28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5" t="str">
        <f aca="false">IF(B184="","",OR(AND(H184="Achat",I184="Haussier"),AND(H184="Vente",I184="Baissier"))*1+OR(AND(H184="Achat",J184="Discount"),AND(H184="Vente",J184="Premium"))*1+AND(K184&lt;&gt;"",K184&lt;&gt;"Aucune")*1+OR(L184="CHoCH",L184="BOS")*1+(M184="Oui")*1+OR(G184="Londres",G184="New York")*1+(O184="Non")*1)</f>
        <v/>
      </c>
      <c r="Q184" s="27" t="str">
        <f aca="false">IF(P184="","",IF(P184=7,"A+",IF(P184&gt;=5,"B","C")))</f>
        <v/>
      </c>
      <c r="R184" s="29"/>
      <c r="S184" s="29"/>
      <c r="T184" s="27" t="str">
        <f aca="false">IF(OR(R184="",S184=""),"",R184+(R184-S184)*Paramètres!$B$6)</f>
        <v/>
      </c>
      <c r="U184" s="29"/>
      <c r="V184" s="27" t="str">
        <f aca="false">IF(OR(R184="",S184=""),"",ABS(R184-S184))</f>
        <v/>
      </c>
      <c r="W184" s="30" t="str">
        <f aca="false">IF(OR(U184="",V184="",N(V184)=0),"",ABS(U184-R184)/V184)</f>
        <v/>
      </c>
      <c r="X184" s="31"/>
      <c r="Y184" s="29"/>
      <c r="Z184" s="32"/>
      <c r="AA184" s="33" t="str">
        <f aca="false">IF(Y184="","",IF(Y184="Stop",-1,IF(Y184="BE",0,IF(Y184="TP1 + BE",Paramètres!$B$7*Paramètres!$B$6,IF(Y184="TP1 (100 %)",Paramètres!$B$6,IF(Y184="TP2",Paramètres!$B$7*Paramètres!$B$6+(1-Paramètres!$B$7)*N(W184),IF(Y184="Sortie manuelle",N(Z184),"")))))))</f>
        <v/>
      </c>
      <c r="AB184" s="34" t="str">
        <f aca="false">IF(AA184="","",AA184*IF(X184="",Paramètres!$B$5,X184))</f>
        <v/>
      </c>
      <c r="AC184" s="35" t="str">
        <f aca="false">IF(AB184="","",Paramètres!$B$4*(1+SUM(AB$5:AB184)))</f>
        <v/>
      </c>
      <c r="AD184" s="29"/>
      <c r="AE184" s="29"/>
      <c r="AF184" s="29"/>
      <c r="AG184" s="36"/>
      <c r="AH184" s="36"/>
      <c r="AI184" s="33" t="str">
        <f aca="false">IF(AA184="","",SUM(AA$5:AA184))</f>
        <v/>
      </c>
      <c r="AJ184" s="33" t="str">
        <f aca="false">IF(AI184="","",MAX(AI184,MAX(AJ$5:AJ183),0))</f>
        <v/>
      </c>
      <c r="AK184" s="33" t="str">
        <f aca="false">IF(AI184="","",AI184-AJ184)</f>
        <v/>
      </c>
      <c r="AL184" s="25" t="str">
        <f aca="false">IF(AA184="","",IF(AA184&lt;0,N(AL183)+1,0))</f>
        <v/>
      </c>
      <c r="AM184" s="37" t="str">
        <f aca="false">IF(B184="","",B184-WEEKDAY(B184,2)+1)</f>
        <v/>
      </c>
    </row>
    <row r="185" customFormat="false" ht="15" hidden="false" customHeight="false" outlineLevel="0" collapsed="false">
      <c r="A185" s="25" t="str">
        <f aca="false">IF(B185="","",ROW()-4)</f>
        <v/>
      </c>
      <c r="B185" s="26"/>
      <c r="C185" s="27" t="str">
        <f aca="false">IF(B185="","",CHOOSE(WEEKDAY(B185,2),"Lundi","Mardi","Mercredi","Jeudi","Vendredi","Samedi","Dimanche"))</f>
        <v/>
      </c>
      <c r="D185" s="28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5" t="str">
        <f aca="false">IF(B185="","",OR(AND(H185="Achat",I185="Haussier"),AND(H185="Vente",I185="Baissier"))*1+OR(AND(H185="Achat",J185="Discount"),AND(H185="Vente",J185="Premium"))*1+AND(K185&lt;&gt;"",K185&lt;&gt;"Aucune")*1+OR(L185="CHoCH",L185="BOS")*1+(M185="Oui")*1+OR(G185="Londres",G185="New York")*1+(O185="Non")*1)</f>
        <v/>
      </c>
      <c r="Q185" s="27" t="str">
        <f aca="false">IF(P185="","",IF(P185=7,"A+",IF(P185&gt;=5,"B","C")))</f>
        <v/>
      </c>
      <c r="R185" s="29"/>
      <c r="S185" s="29"/>
      <c r="T185" s="27" t="str">
        <f aca="false">IF(OR(R185="",S185=""),"",R185+(R185-S185)*Paramètres!$B$6)</f>
        <v/>
      </c>
      <c r="U185" s="29"/>
      <c r="V185" s="27" t="str">
        <f aca="false">IF(OR(R185="",S185=""),"",ABS(R185-S185))</f>
        <v/>
      </c>
      <c r="W185" s="30" t="str">
        <f aca="false">IF(OR(U185="",V185="",N(V185)=0),"",ABS(U185-R185)/V185)</f>
        <v/>
      </c>
      <c r="X185" s="31"/>
      <c r="Y185" s="29"/>
      <c r="Z185" s="32"/>
      <c r="AA185" s="33" t="str">
        <f aca="false">IF(Y185="","",IF(Y185="Stop",-1,IF(Y185="BE",0,IF(Y185="TP1 + BE",Paramètres!$B$7*Paramètres!$B$6,IF(Y185="TP1 (100 %)",Paramètres!$B$6,IF(Y185="TP2",Paramètres!$B$7*Paramètres!$B$6+(1-Paramètres!$B$7)*N(W185),IF(Y185="Sortie manuelle",N(Z185),"")))))))</f>
        <v/>
      </c>
      <c r="AB185" s="34" t="str">
        <f aca="false">IF(AA185="","",AA185*IF(X185="",Paramètres!$B$5,X185))</f>
        <v/>
      </c>
      <c r="AC185" s="35" t="str">
        <f aca="false">IF(AB185="","",Paramètres!$B$4*(1+SUM(AB$5:AB185)))</f>
        <v/>
      </c>
      <c r="AD185" s="29"/>
      <c r="AE185" s="29"/>
      <c r="AF185" s="29"/>
      <c r="AG185" s="36"/>
      <c r="AH185" s="36"/>
      <c r="AI185" s="33" t="str">
        <f aca="false">IF(AA185="","",SUM(AA$5:AA185))</f>
        <v/>
      </c>
      <c r="AJ185" s="33" t="str">
        <f aca="false">IF(AI185="","",MAX(AI185,MAX(AJ$5:AJ184),0))</f>
        <v/>
      </c>
      <c r="AK185" s="33" t="str">
        <f aca="false">IF(AI185="","",AI185-AJ185)</f>
        <v/>
      </c>
      <c r="AL185" s="25" t="str">
        <f aca="false">IF(AA185="","",IF(AA185&lt;0,N(AL184)+1,0))</f>
        <v/>
      </c>
      <c r="AM185" s="37" t="str">
        <f aca="false">IF(B185="","",B185-WEEKDAY(B185,2)+1)</f>
        <v/>
      </c>
    </row>
    <row r="186" customFormat="false" ht="15" hidden="false" customHeight="false" outlineLevel="0" collapsed="false">
      <c r="A186" s="25" t="str">
        <f aca="false">IF(B186="","",ROW()-4)</f>
        <v/>
      </c>
      <c r="B186" s="26"/>
      <c r="C186" s="27" t="str">
        <f aca="false">IF(B186="","",CHOOSE(WEEKDAY(B186,2),"Lundi","Mardi","Mercredi","Jeudi","Vendredi","Samedi","Dimanche"))</f>
        <v/>
      </c>
      <c r="D186" s="28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5" t="str">
        <f aca="false">IF(B186="","",OR(AND(H186="Achat",I186="Haussier"),AND(H186="Vente",I186="Baissier"))*1+OR(AND(H186="Achat",J186="Discount"),AND(H186="Vente",J186="Premium"))*1+AND(K186&lt;&gt;"",K186&lt;&gt;"Aucune")*1+OR(L186="CHoCH",L186="BOS")*1+(M186="Oui")*1+OR(G186="Londres",G186="New York")*1+(O186="Non")*1)</f>
        <v/>
      </c>
      <c r="Q186" s="27" t="str">
        <f aca="false">IF(P186="","",IF(P186=7,"A+",IF(P186&gt;=5,"B","C")))</f>
        <v/>
      </c>
      <c r="R186" s="29"/>
      <c r="S186" s="29"/>
      <c r="T186" s="27" t="str">
        <f aca="false">IF(OR(R186="",S186=""),"",R186+(R186-S186)*Paramètres!$B$6)</f>
        <v/>
      </c>
      <c r="U186" s="29"/>
      <c r="V186" s="27" t="str">
        <f aca="false">IF(OR(R186="",S186=""),"",ABS(R186-S186))</f>
        <v/>
      </c>
      <c r="W186" s="30" t="str">
        <f aca="false">IF(OR(U186="",V186="",N(V186)=0),"",ABS(U186-R186)/V186)</f>
        <v/>
      </c>
      <c r="X186" s="31"/>
      <c r="Y186" s="29"/>
      <c r="Z186" s="32"/>
      <c r="AA186" s="33" t="str">
        <f aca="false">IF(Y186="","",IF(Y186="Stop",-1,IF(Y186="BE",0,IF(Y186="TP1 + BE",Paramètres!$B$7*Paramètres!$B$6,IF(Y186="TP1 (100 %)",Paramètres!$B$6,IF(Y186="TP2",Paramètres!$B$7*Paramètres!$B$6+(1-Paramètres!$B$7)*N(W186),IF(Y186="Sortie manuelle",N(Z186),"")))))))</f>
        <v/>
      </c>
      <c r="AB186" s="34" t="str">
        <f aca="false">IF(AA186="","",AA186*IF(X186="",Paramètres!$B$5,X186))</f>
        <v/>
      </c>
      <c r="AC186" s="35" t="str">
        <f aca="false">IF(AB186="","",Paramètres!$B$4*(1+SUM(AB$5:AB186)))</f>
        <v/>
      </c>
      <c r="AD186" s="29"/>
      <c r="AE186" s="29"/>
      <c r="AF186" s="29"/>
      <c r="AG186" s="36"/>
      <c r="AH186" s="36"/>
      <c r="AI186" s="33" t="str">
        <f aca="false">IF(AA186="","",SUM(AA$5:AA186))</f>
        <v/>
      </c>
      <c r="AJ186" s="33" t="str">
        <f aca="false">IF(AI186="","",MAX(AI186,MAX(AJ$5:AJ185),0))</f>
        <v/>
      </c>
      <c r="AK186" s="33" t="str">
        <f aca="false">IF(AI186="","",AI186-AJ186)</f>
        <v/>
      </c>
      <c r="AL186" s="25" t="str">
        <f aca="false">IF(AA186="","",IF(AA186&lt;0,N(AL185)+1,0))</f>
        <v/>
      </c>
      <c r="AM186" s="37" t="str">
        <f aca="false">IF(B186="","",B186-WEEKDAY(B186,2)+1)</f>
        <v/>
      </c>
    </row>
    <row r="187" customFormat="false" ht="15" hidden="false" customHeight="false" outlineLevel="0" collapsed="false">
      <c r="A187" s="25" t="str">
        <f aca="false">IF(B187="","",ROW()-4)</f>
        <v/>
      </c>
      <c r="B187" s="26"/>
      <c r="C187" s="27" t="str">
        <f aca="false">IF(B187="","",CHOOSE(WEEKDAY(B187,2),"Lundi","Mardi","Mercredi","Jeudi","Vendredi","Samedi","Dimanche"))</f>
        <v/>
      </c>
      <c r="D187" s="28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5" t="str">
        <f aca="false">IF(B187="","",OR(AND(H187="Achat",I187="Haussier"),AND(H187="Vente",I187="Baissier"))*1+OR(AND(H187="Achat",J187="Discount"),AND(H187="Vente",J187="Premium"))*1+AND(K187&lt;&gt;"",K187&lt;&gt;"Aucune")*1+OR(L187="CHoCH",L187="BOS")*1+(M187="Oui")*1+OR(G187="Londres",G187="New York")*1+(O187="Non")*1)</f>
        <v/>
      </c>
      <c r="Q187" s="27" t="str">
        <f aca="false">IF(P187="","",IF(P187=7,"A+",IF(P187&gt;=5,"B","C")))</f>
        <v/>
      </c>
      <c r="R187" s="29"/>
      <c r="S187" s="29"/>
      <c r="T187" s="27" t="str">
        <f aca="false">IF(OR(R187="",S187=""),"",R187+(R187-S187)*Paramètres!$B$6)</f>
        <v/>
      </c>
      <c r="U187" s="29"/>
      <c r="V187" s="27" t="str">
        <f aca="false">IF(OR(R187="",S187=""),"",ABS(R187-S187))</f>
        <v/>
      </c>
      <c r="W187" s="30" t="str">
        <f aca="false">IF(OR(U187="",V187="",N(V187)=0),"",ABS(U187-R187)/V187)</f>
        <v/>
      </c>
      <c r="X187" s="31"/>
      <c r="Y187" s="29"/>
      <c r="Z187" s="32"/>
      <c r="AA187" s="33" t="str">
        <f aca="false">IF(Y187="","",IF(Y187="Stop",-1,IF(Y187="BE",0,IF(Y187="TP1 + BE",Paramètres!$B$7*Paramètres!$B$6,IF(Y187="TP1 (100 %)",Paramètres!$B$6,IF(Y187="TP2",Paramètres!$B$7*Paramètres!$B$6+(1-Paramètres!$B$7)*N(W187),IF(Y187="Sortie manuelle",N(Z187),"")))))))</f>
        <v/>
      </c>
      <c r="AB187" s="34" t="str">
        <f aca="false">IF(AA187="","",AA187*IF(X187="",Paramètres!$B$5,X187))</f>
        <v/>
      </c>
      <c r="AC187" s="35" t="str">
        <f aca="false">IF(AB187="","",Paramètres!$B$4*(1+SUM(AB$5:AB187)))</f>
        <v/>
      </c>
      <c r="AD187" s="29"/>
      <c r="AE187" s="29"/>
      <c r="AF187" s="29"/>
      <c r="AG187" s="36"/>
      <c r="AH187" s="36"/>
      <c r="AI187" s="33" t="str">
        <f aca="false">IF(AA187="","",SUM(AA$5:AA187))</f>
        <v/>
      </c>
      <c r="AJ187" s="33" t="str">
        <f aca="false">IF(AI187="","",MAX(AI187,MAX(AJ$5:AJ186),0))</f>
        <v/>
      </c>
      <c r="AK187" s="33" t="str">
        <f aca="false">IF(AI187="","",AI187-AJ187)</f>
        <v/>
      </c>
      <c r="AL187" s="25" t="str">
        <f aca="false">IF(AA187="","",IF(AA187&lt;0,N(AL186)+1,0))</f>
        <v/>
      </c>
      <c r="AM187" s="37" t="str">
        <f aca="false">IF(B187="","",B187-WEEKDAY(B187,2)+1)</f>
        <v/>
      </c>
    </row>
    <row r="188" customFormat="false" ht="15" hidden="false" customHeight="false" outlineLevel="0" collapsed="false">
      <c r="A188" s="25" t="str">
        <f aca="false">IF(B188="","",ROW()-4)</f>
        <v/>
      </c>
      <c r="B188" s="26"/>
      <c r="C188" s="27" t="str">
        <f aca="false">IF(B188="","",CHOOSE(WEEKDAY(B188,2),"Lundi","Mardi","Mercredi","Jeudi","Vendredi","Samedi","Dimanche"))</f>
        <v/>
      </c>
      <c r="D188" s="28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5" t="str">
        <f aca="false">IF(B188="","",OR(AND(H188="Achat",I188="Haussier"),AND(H188="Vente",I188="Baissier"))*1+OR(AND(H188="Achat",J188="Discount"),AND(H188="Vente",J188="Premium"))*1+AND(K188&lt;&gt;"",K188&lt;&gt;"Aucune")*1+OR(L188="CHoCH",L188="BOS")*1+(M188="Oui")*1+OR(G188="Londres",G188="New York")*1+(O188="Non")*1)</f>
        <v/>
      </c>
      <c r="Q188" s="27" t="str">
        <f aca="false">IF(P188="","",IF(P188=7,"A+",IF(P188&gt;=5,"B","C")))</f>
        <v/>
      </c>
      <c r="R188" s="29"/>
      <c r="S188" s="29"/>
      <c r="T188" s="27" t="str">
        <f aca="false">IF(OR(R188="",S188=""),"",R188+(R188-S188)*Paramètres!$B$6)</f>
        <v/>
      </c>
      <c r="U188" s="29"/>
      <c r="V188" s="27" t="str">
        <f aca="false">IF(OR(R188="",S188=""),"",ABS(R188-S188))</f>
        <v/>
      </c>
      <c r="W188" s="30" t="str">
        <f aca="false">IF(OR(U188="",V188="",N(V188)=0),"",ABS(U188-R188)/V188)</f>
        <v/>
      </c>
      <c r="X188" s="31"/>
      <c r="Y188" s="29"/>
      <c r="Z188" s="32"/>
      <c r="AA188" s="33" t="str">
        <f aca="false">IF(Y188="","",IF(Y188="Stop",-1,IF(Y188="BE",0,IF(Y188="TP1 + BE",Paramètres!$B$7*Paramètres!$B$6,IF(Y188="TP1 (100 %)",Paramètres!$B$6,IF(Y188="TP2",Paramètres!$B$7*Paramètres!$B$6+(1-Paramètres!$B$7)*N(W188),IF(Y188="Sortie manuelle",N(Z188),"")))))))</f>
        <v/>
      </c>
      <c r="AB188" s="34" t="str">
        <f aca="false">IF(AA188="","",AA188*IF(X188="",Paramètres!$B$5,X188))</f>
        <v/>
      </c>
      <c r="AC188" s="35" t="str">
        <f aca="false">IF(AB188="","",Paramètres!$B$4*(1+SUM(AB$5:AB188)))</f>
        <v/>
      </c>
      <c r="AD188" s="29"/>
      <c r="AE188" s="29"/>
      <c r="AF188" s="29"/>
      <c r="AG188" s="36"/>
      <c r="AH188" s="36"/>
      <c r="AI188" s="33" t="str">
        <f aca="false">IF(AA188="","",SUM(AA$5:AA188))</f>
        <v/>
      </c>
      <c r="AJ188" s="33" t="str">
        <f aca="false">IF(AI188="","",MAX(AI188,MAX(AJ$5:AJ187),0))</f>
        <v/>
      </c>
      <c r="AK188" s="33" t="str">
        <f aca="false">IF(AI188="","",AI188-AJ188)</f>
        <v/>
      </c>
      <c r="AL188" s="25" t="str">
        <f aca="false">IF(AA188="","",IF(AA188&lt;0,N(AL187)+1,0))</f>
        <v/>
      </c>
      <c r="AM188" s="37" t="str">
        <f aca="false">IF(B188="","",B188-WEEKDAY(B188,2)+1)</f>
        <v/>
      </c>
    </row>
    <row r="189" customFormat="false" ht="15" hidden="false" customHeight="false" outlineLevel="0" collapsed="false">
      <c r="A189" s="25" t="str">
        <f aca="false">IF(B189="","",ROW()-4)</f>
        <v/>
      </c>
      <c r="B189" s="26"/>
      <c r="C189" s="27" t="str">
        <f aca="false">IF(B189="","",CHOOSE(WEEKDAY(B189,2),"Lundi","Mardi","Mercredi","Jeudi","Vendredi","Samedi","Dimanche"))</f>
        <v/>
      </c>
      <c r="D189" s="28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5" t="str">
        <f aca="false">IF(B189="","",OR(AND(H189="Achat",I189="Haussier"),AND(H189="Vente",I189="Baissier"))*1+OR(AND(H189="Achat",J189="Discount"),AND(H189="Vente",J189="Premium"))*1+AND(K189&lt;&gt;"",K189&lt;&gt;"Aucune")*1+OR(L189="CHoCH",L189="BOS")*1+(M189="Oui")*1+OR(G189="Londres",G189="New York")*1+(O189="Non")*1)</f>
        <v/>
      </c>
      <c r="Q189" s="27" t="str">
        <f aca="false">IF(P189="","",IF(P189=7,"A+",IF(P189&gt;=5,"B","C")))</f>
        <v/>
      </c>
      <c r="R189" s="29"/>
      <c r="S189" s="29"/>
      <c r="T189" s="27" t="str">
        <f aca="false">IF(OR(R189="",S189=""),"",R189+(R189-S189)*Paramètres!$B$6)</f>
        <v/>
      </c>
      <c r="U189" s="29"/>
      <c r="V189" s="27" t="str">
        <f aca="false">IF(OR(R189="",S189=""),"",ABS(R189-S189))</f>
        <v/>
      </c>
      <c r="W189" s="30" t="str">
        <f aca="false">IF(OR(U189="",V189="",N(V189)=0),"",ABS(U189-R189)/V189)</f>
        <v/>
      </c>
      <c r="X189" s="31"/>
      <c r="Y189" s="29"/>
      <c r="Z189" s="32"/>
      <c r="AA189" s="33" t="str">
        <f aca="false">IF(Y189="","",IF(Y189="Stop",-1,IF(Y189="BE",0,IF(Y189="TP1 + BE",Paramètres!$B$7*Paramètres!$B$6,IF(Y189="TP1 (100 %)",Paramètres!$B$6,IF(Y189="TP2",Paramètres!$B$7*Paramètres!$B$6+(1-Paramètres!$B$7)*N(W189),IF(Y189="Sortie manuelle",N(Z189),"")))))))</f>
        <v/>
      </c>
      <c r="AB189" s="34" t="str">
        <f aca="false">IF(AA189="","",AA189*IF(X189="",Paramètres!$B$5,X189))</f>
        <v/>
      </c>
      <c r="AC189" s="35" t="str">
        <f aca="false">IF(AB189="","",Paramètres!$B$4*(1+SUM(AB$5:AB189)))</f>
        <v/>
      </c>
      <c r="AD189" s="29"/>
      <c r="AE189" s="29"/>
      <c r="AF189" s="29"/>
      <c r="AG189" s="36"/>
      <c r="AH189" s="36"/>
      <c r="AI189" s="33" t="str">
        <f aca="false">IF(AA189="","",SUM(AA$5:AA189))</f>
        <v/>
      </c>
      <c r="AJ189" s="33" t="str">
        <f aca="false">IF(AI189="","",MAX(AI189,MAX(AJ$5:AJ188),0))</f>
        <v/>
      </c>
      <c r="AK189" s="33" t="str">
        <f aca="false">IF(AI189="","",AI189-AJ189)</f>
        <v/>
      </c>
      <c r="AL189" s="25" t="str">
        <f aca="false">IF(AA189="","",IF(AA189&lt;0,N(AL188)+1,0))</f>
        <v/>
      </c>
      <c r="AM189" s="37" t="str">
        <f aca="false">IF(B189="","",B189-WEEKDAY(B189,2)+1)</f>
        <v/>
      </c>
    </row>
    <row r="190" customFormat="false" ht="15" hidden="false" customHeight="false" outlineLevel="0" collapsed="false">
      <c r="A190" s="25" t="str">
        <f aca="false">IF(B190="","",ROW()-4)</f>
        <v/>
      </c>
      <c r="B190" s="26"/>
      <c r="C190" s="27" t="str">
        <f aca="false">IF(B190="","",CHOOSE(WEEKDAY(B190,2),"Lundi","Mardi","Mercredi","Jeudi","Vendredi","Samedi","Dimanche"))</f>
        <v/>
      </c>
      <c r="D190" s="28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5" t="str">
        <f aca="false">IF(B190="","",OR(AND(H190="Achat",I190="Haussier"),AND(H190="Vente",I190="Baissier"))*1+OR(AND(H190="Achat",J190="Discount"),AND(H190="Vente",J190="Premium"))*1+AND(K190&lt;&gt;"",K190&lt;&gt;"Aucune")*1+OR(L190="CHoCH",L190="BOS")*1+(M190="Oui")*1+OR(G190="Londres",G190="New York")*1+(O190="Non")*1)</f>
        <v/>
      </c>
      <c r="Q190" s="27" t="str">
        <f aca="false">IF(P190="","",IF(P190=7,"A+",IF(P190&gt;=5,"B","C")))</f>
        <v/>
      </c>
      <c r="R190" s="29"/>
      <c r="S190" s="29"/>
      <c r="T190" s="27" t="str">
        <f aca="false">IF(OR(R190="",S190=""),"",R190+(R190-S190)*Paramètres!$B$6)</f>
        <v/>
      </c>
      <c r="U190" s="29"/>
      <c r="V190" s="27" t="str">
        <f aca="false">IF(OR(R190="",S190=""),"",ABS(R190-S190))</f>
        <v/>
      </c>
      <c r="W190" s="30" t="str">
        <f aca="false">IF(OR(U190="",V190="",N(V190)=0),"",ABS(U190-R190)/V190)</f>
        <v/>
      </c>
      <c r="X190" s="31"/>
      <c r="Y190" s="29"/>
      <c r="Z190" s="32"/>
      <c r="AA190" s="33" t="str">
        <f aca="false">IF(Y190="","",IF(Y190="Stop",-1,IF(Y190="BE",0,IF(Y190="TP1 + BE",Paramètres!$B$7*Paramètres!$B$6,IF(Y190="TP1 (100 %)",Paramètres!$B$6,IF(Y190="TP2",Paramètres!$B$7*Paramètres!$B$6+(1-Paramètres!$B$7)*N(W190),IF(Y190="Sortie manuelle",N(Z190),"")))))))</f>
        <v/>
      </c>
      <c r="AB190" s="34" t="str">
        <f aca="false">IF(AA190="","",AA190*IF(X190="",Paramètres!$B$5,X190))</f>
        <v/>
      </c>
      <c r="AC190" s="35" t="str">
        <f aca="false">IF(AB190="","",Paramètres!$B$4*(1+SUM(AB$5:AB190)))</f>
        <v/>
      </c>
      <c r="AD190" s="29"/>
      <c r="AE190" s="29"/>
      <c r="AF190" s="29"/>
      <c r="AG190" s="36"/>
      <c r="AH190" s="36"/>
      <c r="AI190" s="33" t="str">
        <f aca="false">IF(AA190="","",SUM(AA$5:AA190))</f>
        <v/>
      </c>
      <c r="AJ190" s="33" t="str">
        <f aca="false">IF(AI190="","",MAX(AI190,MAX(AJ$5:AJ189),0))</f>
        <v/>
      </c>
      <c r="AK190" s="33" t="str">
        <f aca="false">IF(AI190="","",AI190-AJ190)</f>
        <v/>
      </c>
      <c r="AL190" s="25" t="str">
        <f aca="false">IF(AA190="","",IF(AA190&lt;0,N(AL189)+1,0))</f>
        <v/>
      </c>
      <c r="AM190" s="37" t="str">
        <f aca="false">IF(B190="","",B190-WEEKDAY(B190,2)+1)</f>
        <v/>
      </c>
    </row>
    <row r="191" customFormat="false" ht="15" hidden="false" customHeight="false" outlineLevel="0" collapsed="false">
      <c r="A191" s="25" t="str">
        <f aca="false">IF(B191="","",ROW()-4)</f>
        <v/>
      </c>
      <c r="B191" s="26"/>
      <c r="C191" s="27" t="str">
        <f aca="false">IF(B191="","",CHOOSE(WEEKDAY(B191,2),"Lundi","Mardi","Mercredi","Jeudi","Vendredi","Samedi","Dimanche"))</f>
        <v/>
      </c>
      <c r="D191" s="28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5" t="str">
        <f aca="false">IF(B191="","",OR(AND(H191="Achat",I191="Haussier"),AND(H191="Vente",I191="Baissier"))*1+OR(AND(H191="Achat",J191="Discount"),AND(H191="Vente",J191="Premium"))*1+AND(K191&lt;&gt;"",K191&lt;&gt;"Aucune")*1+OR(L191="CHoCH",L191="BOS")*1+(M191="Oui")*1+OR(G191="Londres",G191="New York")*1+(O191="Non")*1)</f>
        <v/>
      </c>
      <c r="Q191" s="27" t="str">
        <f aca="false">IF(P191="","",IF(P191=7,"A+",IF(P191&gt;=5,"B","C")))</f>
        <v/>
      </c>
      <c r="R191" s="29"/>
      <c r="S191" s="29"/>
      <c r="T191" s="27" t="str">
        <f aca="false">IF(OR(R191="",S191=""),"",R191+(R191-S191)*Paramètres!$B$6)</f>
        <v/>
      </c>
      <c r="U191" s="29"/>
      <c r="V191" s="27" t="str">
        <f aca="false">IF(OR(R191="",S191=""),"",ABS(R191-S191))</f>
        <v/>
      </c>
      <c r="W191" s="30" t="str">
        <f aca="false">IF(OR(U191="",V191="",N(V191)=0),"",ABS(U191-R191)/V191)</f>
        <v/>
      </c>
      <c r="X191" s="31"/>
      <c r="Y191" s="29"/>
      <c r="Z191" s="32"/>
      <c r="AA191" s="33" t="str">
        <f aca="false">IF(Y191="","",IF(Y191="Stop",-1,IF(Y191="BE",0,IF(Y191="TP1 + BE",Paramètres!$B$7*Paramètres!$B$6,IF(Y191="TP1 (100 %)",Paramètres!$B$6,IF(Y191="TP2",Paramètres!$B$7*Paramètres!$B$6+(1-Paramètres!$B$7)*N(W191),IF(Y191="Sortie manuelle",N(Z191),"")))))))</f>
        <v/>
      </c>
      <c r="AB191" s="34" t="str">
        <f aca="false">IF(AA191="","",AA191*IF(X191="",Paramètres!$B$5,X191))</f>
        <v/>
      </c>
      <c r="AC191" s="35" t="str">
        <f aca="false">IF(AB191="","",Paramètres!$B$4*(1+SUM(AB$5:AB191)))</f>
        <v/>
      </c>
      <c r="AD191" s="29"/>
      <c r="AE191" s="29"/>
      <c r="AF191" s="29"/>
      <c r="AG191" s="36"/>
      <c r="AH191" s="36"/>
      <c r="AI191" s="33" t="str">
        <f aca="false">IF(AA191="","",SUM(AA$5:AA191))</f>
        <v/>
      </c>
      <c r="AJ191" s="33" t="str">
        <f aca="false">IF(AI191="","",MAX(AI191,MAX(AJ$5:AJ190),0))</f>
        <v/>
      </c>
      <c r="AK191" s="33" t="str">
        <f aca="false">IF(AI191="","",AI191-AJ191)</f>
        <v/>
      </c>
      <c r="AL191" s="25" t="str">
        <f aca="false">IF(AA191="","",IF(AA191&lt;0,N(AL190)+1,0))</f>
        <v/>
      </c>
      <c r="AM191" s="37" t="str">
        <f aca="false">IF(B191="","",B191-WEEKDAY(B191,2)+1)</f>
        <v/>
      </c>
    </row>
    <row r="192" customFormat="false" ht="15" hidden="false" customHeight="false" outlineLevel="0" collapsed="false">
      <c r="A192" s="25" t="str">
        <f aca="false">IF(B192="","",ROW()-4)</f>
        <v/>
      </c>
      <c r="B192" s="26"/>
      <c r="C192" s="27" t="str">
        <f aca="false">IF(B192="","",CHOOSE(WEEKDAY(B192,2),"Lundi","Mardi","Mercredi","Jeudi","Vendredi","Samedi","Dimanche"))</f>
        <v/>
      </c>
      <c r="D192" s="28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5" t="str">
        <f aca="false">IF(B192="","",OR(AND(H192="Achat",I192="Haussier"),AND(H192="Vente",I192="Baissier"))*1+OR(AND(H192="Achat",J192="Discount"),AND(H192="Vente",J192="Premium"))*1+AND(K192&lt;&gt;"",K192&lt;&gt;"Aucune")*1+OR(L192="CHoCH",L192="BOS")*1+(M192="Oui")*1+OR(G192="Londres",G192="New York")*1+(O192="Non")*1)</f>
        <v/>
      </c>
      <c r="Q192" s="27" t="str">
        <f aca="false">IF(P192="","",IF(P192=7,"A+",IF(P192&gt;=5,"B","C")))</f>
        <v/>
      </c>
      <c r="R192" s="29"/>
      <c r="S192" s="29"/>
      <c r="T192" s="27" t="str">
        <f aca="false">IF(OR(R192="",S192=""),"",R192+(R192-S192)*Paramètres!$B$6)</f>
        <v/>
      </c>
      <c r="U192" s="29"/>
      <c r="V192" s="27" t="str">
        <f aca="false">IF(OR(R192="",S192=""),"",ABS(R192-S192))</f>
        <v/>
      </c>
      <c r="W192" s="30" t="str">
        <f aca="false">IF(OR(U192="",V192="",N(V192)=0),"",ABS(U192-R192)/V192)</f>
        <v/>
      </c>
      <c r="X192" s="31"/>
      <c r="Y192" s="29"/>
      <c r="Z192" s="32"/>
      <c r="AA192" s="33" t="str">
        <f aca="false">IF(Y192="","",IF(Y192="Stop",-1,IF(Y192="BE",0,IF(Y192="TP1 + BE",Paramètres!$B$7*Paramètres!$B$6,IF(Y192="TP1 (100 %)",Paramètres!$B$6,IF(Y192="TP2",Paramètres!$B$7*Paramètres!$B$6+(1-Paramètres!$B$7)*N(W192),IF(Y192="Sortie manuelle",N(Z192),"")))))))</f>
        <v/>
      </c>
      <c r="AB192" s="34" t="str">
        <f aca="false">IF(AA192="","",AA192*IF(X192="",Paramètres!$B$5,X192))</f>
        <v/>
      </c>
      <c r="AC192" s="35" t="str">
        <f aca="false">IF(AB192="","",Paramètres!$B$4*(1+SUM(AB$5:AB192)))</f>
        <v/>
      </c>
      <c r="AD192" s="29"/>
      <c r="AE192" s="29"/>
      <c r="AF192" s="29"/>
      <c r="AG192" s="36"/>
      <c r="AH192" s="36"/>
      <c r="AI192" s="33" t="str">
        <f aca="false">IF(AA192="","",SUM(AA$5:AA192))</f>
        <v/>
      </c>
      <c r="AJ192" s="33" t="str">
        <f aca="false">IF(AI192="","",MAX(AI192,MAX(AJ$5:AJ191),0))</f>
        <v/>
      </c>
      <c r="AK192" s="33" t="str">
        <f aca="false">IF(AI192="","",AI192-AJ192)</f>
        <v/>
      </c>
      <c r="AL192" s="25" t="str">
        <f aca="false">IF(AA192="","",IF(AA192&lt;0,N(AL191)+1,0))</f>
        <v/>
      </c>
      <c r="AM192" s="37" t="str">
        <f aca="false">IF(B192="","",B192-WEEKDAY(B192,2)+1)</f>
        <v/>
      </c>
    </row>
    <row r="193" customFormat="false" ht="15" hidden="false" customHeight="false" outlineLevel="0" collapsed="false">
      <c r="A193" s="25" t="str">
        <f aca="false">IF(B193="","",ROW()-4)</f>
        <v/>
      </c>
      <c r="B193" s="26"/>
      <c r="C193" s="27" t="str">
        <f aca="false">IF(B193="","",CHOOSE(WEEKDAY(B193,2),"Lundi","Mardi","Mercredi","Jeudi","Vendredi","Samedi","Dimanche"))</f>
        <v/>
      </c>
      <c r="D193" s="28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5" t="str">
        <f aca="false">IF(B193="","",OR(AND(H193="Achat",I193="Haussier"),AND(H193="Vente",I193="Baissier"))*1+OR(AND(H193="Achat",J193="Discount"),AND(H193="Vente",J193="Premium"))*1+AND(K193&lt;&gt;"",K193&lt;&gt;"Aucune")*1+OR(L193="CHoCH",L193="BOS")*1+(M193="Oui")*1+OR(G193="Londres",G193="New York")*1+(O193="Non")*1)</f>
        <v/>
      </c>
      <c r="Q193" s="27" t="str">
        <f aca="false">IF(P193="","",IF(P193=7,"A+",IF(P193&gt;=5,"B","C")))</f>
        <v/>
      </c>
      <c r="R193" s="29"/>
      <c r="S193" s="29"/>
      <c r="T193" s="27" t="str">
        <f aca="false">IF(OR(R193="",S193=""),"",R193+(R193-S193)*Paramètres!$B$6)</f>
        <v/>
      </c>
      <c r="U193" s="29"/>
      <c r="V193" s="27" t="str">
        <f aca="false">IF(OR(R193="",S193=""),"",ABS(R193-S193))</f>
        <v/>
      </c>
      <c r="W193" s="30" t="str">
        <f aca="false">IF(OR(U193="",V193="",N(V193)=0),"",ABS(U193-R193)/V193)</f>
        <v/>
      </c>
      <c r="X193" s="31"/>
      <c r="Y193" s="29"/>
      <c r="Z193" s="32"/>
      <c r="AA193" s="33" t="str">
        <f aca="false">IF(Y193="","",IF(Y193="Stop",-1,IF(Y193="BE",0,IF(Y193="TP1 + BE",Paramètres!$B$7*Paramètres!$B$6,IF(Y193="TP1 (100 %)",Paramètres!$B$6,IF(Y193="TP2",Paramètres!$B$7*Paramètres!$B$6+(1-Paramètres!$B$7)*N(W193),IF(Y193="Sortie manuelle",N(Z193),"")))))))</f>
        <v/>
      </c>
      <c r="AB193" s="34" t="str">
        <f aca="false">IF(AA193="","",AA193*IF(X193="",Paramètres!$B$5,X193))</f>
        <v/>
      </c>
      <c r="AC193" s="35" t="str">
        <f aca="false">IF(AB193="","",Paramètres!$B$4*(1+SUM(AB$5:AB193)))</f>
        <v/>
      </c>
      <c r="AD193" s="29"/>
      <c r="AE193" s="29"/>
      <c r="AF193" s="29"/>
      <c r="AG193" s="36"/>
      <c r="AH193" s="36"/>
      <c r="AI193" s="33" t="str">
        <f aca="false">IF(AA193="","",SUM(AA$5:AA193))</f>
        <v/>
      </c>
      <c r="AJ193" s="33" t="str">
        <f aca="false">IF(AI193="","",MAX(AI193,MAX(AJ$5:AJ192),0))</f>
        <v/>
      </c>
      <c r="AK193" s="33" t="str">
        <f aca="false">IF(AI193="","",AI193-AJ193)</f>
        <v/>
      </c>
      <c r="AL193" s="25" t="str">
        <f aca="false">IF(AA193="","",IF(AA193&lt;0,N(AL192)+1,0))</f>
        <v/>
      </c>
      <c r="AM193" s="37" t="str">
        <f aca="false">IF(B193="","",B193-WEEKDAY(B193,2)+1)</f>
        <v/>
      </c>
    </row>
    <row r="194" customFormat="false" ht="15" hidden="false" customHeight="false" outlineLevel="0" collapsed="false">
      <c r="A194" s="25" t="str">
        <f aca="false">IF(B194="","",ROW()-4)</f>
        <v/>
      </c>
      <c r="B194" s="26"/>
      <c r="C194" s="27" t="str">
        <f aca="false">IF(B194="","",CHOOSE(WEEKDAY(B194,2),"Lundi","Mardi","Mercredi","Jeudi","Vendredi","Samedi","Dimanche"))</f>
        <v/>
      </c>
      <c r="D194" s="28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5" t="str">
        <f aca="false">IF(B194="","",OR(AND(H194="Achat",I194="Haussier"),AND(H194="Vente",I194="Baissier"))*1+OR(AND(H194="Achat",J194="Discount"),AND(H194="Vente",J194="Premium"))*1+AND(K194&lt;&gt;"",K194&lt;&gt;"Aucune")*1+OR(L194="CHoCH",L194="BOS")*1+(M194="Oui")*1+OR(G194="Londres",G194="New York")*1+(O194="Non")*1)</f>
        <v/>
      </c>
      <c r="Q194" s="27" t="str">
        <f aca="false">IF(P194="","",IF(P194=7,"A+",IF(P194&gt;=5,"B","C")))</f>
        <v/>
      </c>
      <c r="R194" s="29"/>
      <c r="S194" s="29"/>
      <c r="T194" s="27" t="str">
        <f aca="false">IF(OR(R194="",S194=""),"",R194+(R194-S194)*Paramètres!$B$6)</f>
        <v/>
      </c>
      <c r="U194" s="29"/>
      <c r="V194" s="27" t="str">
        <f aca="false">IF(OR(R194="",S194=""),"",ABS(R194-S194))</f>
        <v/>
      </c>
      <c r="W194" s="30" t="str">
        <f aca="false">IF(OR(U194="",V194="",N(V194)=0),"",ABS(U194-R194)/V194)</f>
        <v/>
      </c>
      <c r="X194" s="31"/>
      <c r="Y194" s="29"/>
      <c r="Z194" s="32"/>
      <c r="AA194" s="33" t="str">
        <f aca="false">IF(Y194="","",IF(Y194="Stop",-1,IF(Y194="BE",0,IF(Y194="TP1 + BE",Paramètres!$B$7*Paramètres!$B$6,IF(Y194="TP1 (100 %)",Paramètres!$B$6,IF(Y194="TP2",Paramètres!$B$7*Paramètres!$B$6+(1-Paramètres!$B$7)*N(W194),IF(Y194="Sortie manuelle",N(Z194),"")))))))</f>
        <v/>
      </c>
      <c r="AB194" s="34" t="str">
        <f aca="false">IF(AA194="","",AA194*IF(X194="",Paramètres!$B$5,X194))</f>
        <v/>
      </c>
      <c r="AC194" s="35" t="str">
        <f aca="false">IF(AB194="","",Paramètres!$B$4*(1+SUM(AB$5:AB194)))</f>
        <v/>
      </c>
      <c r="AD194" s="29"/>
      <c r="AE194" s="29"/>
      <c r="AF194" s="29"/>
      <c r="AG194" s="36"/>
      <c r="AH194" s="36"/>
      <c r="AI194" s="33" t="str">
        <f aca="false">IF(AA194="","",SUM(AA$5:AA194))</f>
        <v/>
      </c>
      <c r="AJ194" s="33" t="str">
        <f aca="false">IF(AI194="","",MAX(AI194,MAX(AJ$5:AJ193),0))</f>
        <v/>
      </c>
      <c r="AK194" s="33" t="str">
        <f aca="false">IF(AI194="","",AI194-AJ194)</f>
        <v/>
      </c>
      <c r="AL194" s="25" t="str">
        <f aca="false">IF(AA194="","",IF(AA194&lt;0,N(AL193)+1,0))</f>
        <v/>
      </c>
      <c r="AM194" s="37" t="str">
        <f aca="false">IF(B194="","",B194-WEEKDAY(B194,2)+1)</f>
        <v/>
      </c>
    </row>
    <row r="195" customFormat="false" ht="15" hidden="false" customHeight="false" outlineLevel="0" collapsed="false">
      <c r="A195" s="25" t="str">
        <f aca="false">IF(B195="","",ROW()-4)</f>
        <v/>
      </c>
      <c r="B195" s="26"/>
      <c r="C195" s="27" t="str">
        <f aca="false">IF(B195="","",CHOOSE(WEEKDAY(B195,2),"Lundi","Mardi","Mercredi","Jeudi","Vendredi","Samedi","Dimanche"))</f>
        <v/>
      </c>
      <c r="D195" s="28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5" t="str">
        <f aca="false">IF(B195="","",OR(AND(H195="Achat",I195="Haussier"),AND(H195="Vente",I195="Baissier"))*1+OR(AND(H195="Achat",J195="Discount"),AND(H195="Vente",J195="Premium"))*1+AND(K195&lt;&gt;"",K195&lt;&gt;"Aucune")*1+OR(L195="CHoCH",L195="BOS")*1+(M195="Oui")*1+OR(G195="Londres",G195="New York")*1+(O195="Non")*1)</f>
        <v/>
      </c>
      <c r="Q195" s="27" t="str">
        <f aca="false">IF(P195="","",IF(P195=7,"A+",IF(P195&gt;=5,"B","C")))</f>
        <v/>
      </c>
      <c r="R195" s="29"/>
      <c r="S195" s="29"/>
      <c r="T195" s="27" t="str">
        <f aca="false">IF(OR(R195="",S195=""),"",R195+(R195-S195)*Paramètres!$B$6)</f>
        <v/>
      </c>
      <c r="U195" s="29"/>
      <c r="V195" s="27" t="str">
        <f aca="false">IF(OR(R195="",S195=""),"",ABS(R195-S195))</f>
        <v/>
      </c>
      <c r="W195" s="30" t="str">
        <f aca="false">IF(OR(U195="",V195="",N(V195)=0),"",ABS(U195-R195)/V195)</f>
        <v/>
      </c>
      <c r="X195" s="31"/>
      <c r="Y195" s="29"/>
      <c r="Z195" s="32"/>
      <c r="AA195" s="33" t="str">
        <f aca="false">IF(Y195="","",IF(Y195="Stop",-1,IF(Y195="BE",0,IF(Y195="TP1 + BE",Paramètres!$B$7*Paramètres!$B$6,IF(Y195="TP1 (100 %)",Paramètres!$B$6,IF(Y195="TP2",Paramètres!$B$7*Paramètres!$B$6+(1-Paramètres!$B$7)*N(W195),IF(Y195="Sortie manuelle",N(Z195),"")))))))</f>
        <v/>
      </c>
      <c r="AB195" s="34" t="str">
        <f aca="false">IF(AA195="","",AA195*IF(X195="",Paramètres!$B$5,X195))</f>
        <v/>
      </c>
      <c r="AC195" s="35" t="str">
        <f aca="false">IF(AB195="","",Paramètres!$B$4*(1+SUM(AB$5:AB195)))</f>
        <v/>
      </c>
      <c r="AD195" s="29"/>
      <c r="AE195" s="29"/>
      <c r="AF195" s="29"/>
      <c r="AG195" s="36"/>
      <c r="AH195" s="36"/>
      <c r="AI195" s="33" t="str">
        <f aca="false">IF(AA195="","",SUM(AA$5:AA195))</f>
        <v/>
      </c>
      <c r="AJ195" s="33" t="str">
        <f aca="false">IF(AI195="","",MAX(AI195,MAX(AJ$5:AJ194),0))</f>
        <v/>
      </c>
      <c r="AK195" s="33" t="str">
        <f aca="false">IF(AI195="","",AI195-AJ195)</f>
        <v/>
      </c>
      <c r="AL195" s="25" t="str">
        <f aca="false">IF(AA195="","",IF(AA195&lt;0,N(AL194)+1,0))</f>
        <v/>
      </c>
      <c r="AM195" s="37" t="str">
        <f aca="false">IF(B195="","",B195-WEEKDAY(B195,2)+1)</f>
        <v/>
      </c>
    </row>
    <row r="196" customFormat="false" ht="15" hidden="false" customHeight="false" outlineLevel="0" collapsed="false">
      <c r="A196" s="25" t="str">
        <f aca="false">IF(B196="","",ROW()-4)</f>
        <v/>
      </c>
      <c r="B196" s="26"/>
      <c r="C196" s="27" t="str">
        <f aca="false">IF(B196="","",CHOOSE(WEEKDAY(B196,2),"Lundi","Mardi","Mercredi","Jeudi","Vendredi","Samedi","Dimanche"))</f>
        <v/>
      </c>
      <c r="D196" s="28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5" t="str">
        <f aca="false">IF(B196="","",OR(AND(H196="Achat",I196="Haussier"),AND(H196="Vente",I196="Baissier"))*1+OR(AND(H196="Achat",J196="Discount"),AND(H196="Vente",J196="Premium"))*1+AND(K196&lt;&gt;"",K196&lt;&gt;"Aucune")*1+OR(L196="CHoCH",L196="BOS")*1+(M196="Oui")*1+OR(G196="Londres",G196="New York")*1+(O196="Non")*1)</f>
        <v/>
      </c>
      <c r="Q196" s="27" t="str">
        <f aca="false">IF(P196="","",IF(P196=7,"A+",IF(P196&gt;=5,"B","C")))</f>
        <v/>
      </c>
      <c r="R196" s="29"/>
      <c r="S196" s="29"/>
      <c r="T196" s="27" t="str">
        <f aca="false">IF(OR(R196="",S196=""),"",R196+(R196-S196)*Paramètres!$B$6)</f>
        <v/>
      </c>
      <c r="U196" s="29"/>
      <c r="V196" s="27" t="str">
        <f aca="false">IF(OR(R196="",S196=""),"",ABS(R196-S196))</f>
        <v/>
      </c>
      <c r="W196" s="30" t="str">
        <f aca="false">IF(OR(U196="",V196="",N(V196)=0),"",ABS(U196-R196)/V196)</f>
        <v/>
      </c>
      <c r="X196" s="31"/>
      <c r="Y196" s="29"/>
      <c r="Z196" s="32"/>
      <c r="AA196" s="33" t="str">
        <f aca="false">IF(Y196="","",IF(Y196="Stop",-1,IF(Y196="BE",0,IF(Y196="TP1 + BE",Paramètres!$B$7*Paramètres!$B$6,IF(Y196="TP1 (100 %)",Paramètres!$B$6,IF(Y196="TP2",Paramètres!$B$7*Paramètres!$B$6+(1-Paramètres!$B$7)*N(W196),IF(Y196="Sortie manuelle",N(Z196),"")))))))</f>
        <v/>
      </c>
      <c r="AB196" s="34" t="str">
        <f aca="false">IF(AA196="","",AA196*IF(X196="",Paramètres!$B$5,X196))</f>
        <v/>
      </c>
      <c r="AC196" s="35" t="str">
        <f aca="false">IF(AB196="","",Paramètres!$B$4*(1+SUM(AB$5:AB196)))</f>
        <v/>
      </c>
      <c r="AD196" s="29"/>
      <c r="AE196" s="29"/>
      <c r="AF196" s="29"/>
      <c r="AG196" s="36"/>
      <c r="AH196" s="36"/>
      <c r="AI196" s="33" t="str">
        <f aca="false">IF(AA196="","",SUM(AA$5:AA196))</f>
        <v/>
      </c>
      <c r="AJ196" s="33" t="str">
        <f aca="false">IF(AI196="","",MAX(AI196,MAX(AJ$5:AJ195),0))</f>
        <v/>
      </c>
      <c r="AK196" s="33" t="str">
        <f aca="false">IF(AI196="","",AI196-AJ196)</f>
        <v/>
      </c>
      <c r="AL196" s="25" t="str">
        <f aca="false">IF(AA196="","",IF(AA196&lt;0,N(AL195)+1,0))</f>
        <v/>
      </c>
      <c r="AM196" s="37" t="str">
        <f aca="false">IF(B196="","",B196-WEEKDAY(B196,2)+1)</f>
        <v/>
      </c>
    </row>
    <row r="197" customFormat="false" ht="15" hidden="false" customHeight="false" outlineLevel="0" collapsed="false">
      <c r="A197" s="25" t="str">
        <f aca="false">IF(B197="","",ROW()-4)</f>
        <v/>
      </c>
      <c r="B197" s="26"/>
      <c r="C197" s="27" t="str">
        <f aca="false">IF(B197="","",CHOOSE(WEEKDAY(B197,2),"Lundi","Mardi","Mercredi","Jeudi","Vendredi","Samedi","Dimanche"))</f>
        <v/>
      </c>
      <c r="D197" s="28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5" t="str">
        <f aca="false">IF(B197="","",OR(AND(H197="Achat",I197="Haussier"),AND(H197="Vente",I197="Baissier"))*1+OR(AND(H197="Achat",J197="Discount"),AND(H197="Vente",J197="Premium"))*1+AND(K197&lt;&gt;"",K197&lt;&gt;"Aucune")*1+OR(L197="CHoCH",L197="BOS")*1+(M197="Oui")*1+OR(G197="Londres",G197="New York")*1+(O197="Non")*1)</f>
        <v/>
      </c>
      <c r="Q197" s="27" t="str">
        <f aca="false">IF(P197="","",IF(P197=7,"A+",IF(P197&gt;=5,"B","C")))</f>
        <v/>
      </c>
      <c r="R197" s="29"/>
      <c r="S197" s="29"/>
      <c r="T197" s="27" t="str">
        <f aca="false">IF(OR(R197="",S197=""),"",R197+(R197-S197)*Paramètres!$B$6)</f>
        <v/>
      </c>
      <c r="U197" s="29"/>
      <c r="V197" s="27" t="str">
        <f aca="false">IF(OR(R197="",S197=""),"",ABS(R197-S197))</f>
        <v/>
      </c>
      <c r="W197" s="30" t="str">
        <f aca="false">IF(OR(U197="",V197="",N(V197)=0),"",ABS(U197-R197)/V197)</f>
        <v/>
      </c>
      <c r="X197" s="31"/>
      <c r="Y197" s="29"/>
      <c r="Z197" s="32"/>
      <c r="AA197" s="33" t="str">
        <f aca="false">IF(Y197="","",IF(Y197="Stop",-1,IF(Y197="BE",0,IF(Y197="TP1 + BE",Paramètres!$B$7*Paramètres!$B$6,IF(Y197="TP1 (100 %)",Paramètres!$B$6,IF(Y197="TP2",Paramètres!$B$7*Paramètres!$B$6+(1-Paramètres!$B$7)*N(W197),IF(Y197="Sortie manuelle",N(Z197),"")))))))</f>
        <v/>
      </c>
      <c r="AB197" s="34" t="str">
        <f aca="false">IF(AA197="","",AA197*IF(X197="",Paramètres!$B$5,X197))</f>
        <v/>
      </c>
      <c r="AC197" s="35" t="str">
        <f aca="false">IF(AB197="","",Paramètres!$B$4*(1+SUM(AB$5:AB197)))</f>
        <v/>
      </c>
      <c r="AD197" s="29"/>
      <c r="AE197" s="29"/>
      <c r="AF197" s="29"/>
      <c r="AG197" s="36"/>
      <c r="AH197" s="36"/>
      <c r="AI197" s="33" t="str">
        <f aca="false">IF(AA197="","",SUM(AA$5:AA197))</f>
        <v/>
      </c>
      <c r="AJ197" s="33" t="str">
        <f aca="false">IF(AI197="","",MAX(AI197,MAX(AJ$5:AJ196),0))</f>
        <v/>
      </c>
      <c r="AK197" s="33" t="str">
        <f aca="false">IF(AI197="","",AI197-AJ197)</f>
        <v/>
      </c>
      <c r="AL197" s="25" t="str">
        <f aca="false">IF(AA197="","",IF(AA197&lt;0,N(AL196)+1,0))</f>
        <v/>
      </c>
      <c r="AM197" s="37" t="str">
        <f aca="false">IF(B197="","",B197-WEEKDAY(B197,2)+1)</f>
        <v/>
      </c>
    </row>
    <row r="198" customFormat="false" ht="15" hidden="false" customHeight="false" outlineLevel="0" collapsed="false">
      <c r="A198" s="25" t="str">
        <f aca="false">IF(B198="","",ROW()-4)</f>
        <v/>
      </c>
      <c r="B198" s="26"/>
      <c r="C198" s="27" t="str">
        <f aca="false">IF(B198="","",CHOOSE(WEEKDAY(B198,2),"Lundi","Mardi","Mercredi","Jeudi","Vendredi","Samedi","Dimanche"))</f>
        <v/>
      </c>
      <c r="D198" s="28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5" t="str">
        <f aca="false">IF(B198="","",OR(AND(H198="Achat",I198="Haussier"),AND(H198="Vente",I198="Baissier"))*1+OR(AND(H198="Achat",J198="Discount"),AND(H198="Vente",J198="Premium"))*1+AND(K198&lt;&gt;"",K198&lt;&gt;"Aucune")*1+OR(L198="CHoCH",L198="BOS")*1+(M198="Oui")*1+OR(G198="Londres",G198="New York")*1+(O198="Non")*1)</f>
        <v/>
      </c>
      <c r="Q198" s="27" t="str">
        <f aca="false">IF(P198="","",IF(P198=7,"A+",IF(P198&gt;=5,"B","C")))</f>
        <v/>
      </c>
      <c r="R198" s="29"/>
      <c r="S198" s="29"/>
      <c r="T198" s="27" t="str">
        <f aca="false">IF(OR(R198="",S198=""),"",R198+(R198-S198)*Paramètres!$B$6)</f>
        <v/>
      </c>
      <c r="U198" s="29"/>
      <c r="V198" s="27" t="str">
        <f aca="false">IF(OR(R198="",S198=""),"",ABS(R198-S198))</f>
        <v/>
      </c>
      <c r="W198" s="30" t="str">
        <f aca="false">IF(OR(U198="",V198="",N(V198)=0),"",ABS(U198-R198)/V198)</f>
        <v/>
      </c>
      <c r="X198" s="31"/>
      <c r="Y198" s="29"/>
      <c r="Z198" s="32"/>
      <c r="AA198" s="33" t="str">
        <f aca="false">IF(Y198="","",IF(Y198="Stop",-1,IF(Y198="BE",0,IF(Y198="TP1 + BE",Paramètres!$B$7*Paramètres!$B$6,IF(Y198="TP1 (100 %)",Paramètres!$B$6,IF(Y198="TP2",Paramètres!$B$7*Paramètres!$B$6+(1-Paramètres!$B$7)*N(W198),IF(Y198="Sortie manuelle",N(Z198),"")))))))</f>
        <v/>
      </c>
      <c r="AB198" s="34" t="str">
        <f aca="false">IF(AA198="","",AA198*IF(X198="",Paramètres!$B$5,X198))</f>
        <v/>
      </c>
      <c r="AC198" s="35" t="str">
        <f aca="false">IF(AB198="","",Paramètres!$B$4*(1+SUM(AB$5:AB198)))</f>
        <v/>
      </c>
      <c r="AD198" s="29"/>
      <c r="AE198" s="29"/>
      <c r="AF198" s="29"/>
      <c r="AG198" s="36"/>
      <c r="AH198" s="36"/>
      <c r="AI198" s="33" t="str">
        <f aca="false">IF(AA198="","",SUM(AA$5:AA198))</f>
        <v/>
      </c>
      <c r="AJ198" s="33" t="str">
        <f aca="false">IF(AI198="","",MAX(AI198,MAX(AJ$5:AJ197),0))</f>
        <v/>
      </c>
      <c r="AK198" s="33" t="str">
        <f aca="false">IF(AI198="","",AI198-AJ198)</f>
        <v/>
      </c>
      <c r="AL198" s="25" t="str">
        <f aca="false">IF(AA198="","",IF(AA198&lt;0,N(AL197)+1,0))</f>
        <v/>
      </c>
      <c r="AM198" s="37" t="str">
        <f aca="false">IF(B198="","",B198-WEEKDAY(B198,2)+1)</f>
        <v/>
      </c>
    </row>
    <row r="199" customFormat="false" ht="15" hidden="false" customHeight="false" outlineLevel="0" collapsed="false">
      <c r="A199" s="25" t="str">
        <f aca="false">IF(B199="","",ROW()-4)</f>
        <v/>
      </c>
      <c r="B199" s="26"/>
      <c r="C199" s="27" t="str">
        <f aca="false">IF(B199="","",CHOOSE(WEEKDAY(B199,2),"Lundi","Mardi","Mercredi","Jeudi","Vendredi","Samedi","Dimanche"))</f>
        <v/>
      </c>
      <c r="D199" s="28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5" t="str">
        <f aca="false">IF(B199="","",OR(AND(H199="Achat",I199="Haussier"),AND(H199="Vente",I199="Baissier"))*1+OR(AND(H199="Achat",J199="Discount"),AND(H199="Vente",J199="Premium"))*1+AND(K199&lt;&gt;"",K199&lt;&gt;"Aucune")*1+OR(L199="CHoCH",L199="BOS")*1+(M199="Oui")*1+OR(G199="Londres",G199="New York")*1+(O199="Non")*1)</f>
        <v/>
      </c>
      <c r="Q199" s="27" t="str">
        <f aca="false">IF(P199="","",IF(P199=7,"A+",IF(P199&gt;=5,"B","C")))</f>
        <v/>
      </c>
      <c r="R199" s="29"/>
      <c r="S199" s="29"/>
      <c r="T199" s="27" t="str">
        <f aca="false">IF(OR(R199="",S199=""),"",R199+(R199-S199)*Paramètres!$B$6)</f>
        <v/>
      </c>
      <c r="U199" s="29"/>
      <c r="V199" s="27" t="str">
        <f aca="false">IF(OR(R199="",S199=""),"",ABS(R199-S199))</f>
        <v/>
      </c>
      <c r="W199" s="30" t="str">
        <f aca="false">IF(OR(U199="",V199="",N(V199)=0),"",ABS(U199-R199)/V199)</f>
        <v/>
      </c>
      <c r="X199" s="31"/>
      <c r="Y199" s="29"/>
      <c r="Z199" s="32"/>
      <c r="AA199" s="33" t="str">
        <f aca="false">IF(Y199="","",IF(Y199="Stop",-1,IF(Y199="BE",0,IF(Y199="TP1 + BE",Paramètres!$B$7*Paramètres!$B$6,IF(Y199="TP1 (100 %)",Paramètres!$B$6,IF(Y199="TP2",Paramètres!$B$7*Paramètres!$B$6+(1-Paramètres!$B$7)*N(W199),IF(Y199="Sortie manuelle",N(Z199),"")))))))</f>
        <v/>
      </c>
      <c r="AB199" s="34" t="str">
        <f aca="false">IF(AA199="","",AA199*IF(X199="",Paramètres!$B$5,X199))</f>
        <v/>
      </c>
      <c r="AC199" s="35" t="str">
        <f aca="false">IF(AB199="","",Paramètres!$B$4*(1+SUM(AB$5:AB199)))</f>
        <v/>
      </c>
      <c r="AD199" s="29"/>
      <c r="AE199" s="29"/>
      <c r="AF199" s="29"/>
      <c r="AG199" s="36"/>
      <c r="AH199" s="36"/>
      <c r="AI199" s="33" t="str">
        <f aca="false">IF(AA199="","",SUM(AA$5:AA199))</f>
        <v/>
      </c>
      <c r="AJ199" s="33" t="str">
        <f aca="false">IF(AI199="","",MAX(AI199,MAX(AJ$5:AJ198),0))</f>
        <v/>
      </c>
      <c r="AK199" s="33" t="str">
        <f aca="false">IF(AI199="","",AI199-AJ199)</f>
        <v/>
      </c>
      <c r="AL199" s="25" t="str">
        <f aca="false">IF(AA199="","",IF(AA199&lt;0,N(AL198)+1,0))</f>
        <v/>
      </c>
      <c r="AM199" s="37" t="str">
        <f aca="false">IF(B199="","",B199-WEEKDAY(B199,2)+1)</f>
        <v/>
      </c>
    </row>
    <row r="200" customFormat="false" ht="15" hidden="false" customHeight="false" outlineLevel="0" collapsed="false">
      <c r="A200" s="25" t="str">
        <f aca="false">IF(B200="","",ROW()-4)</f>
        <v/>
      </c>
      <c r="B200" s="26"/>
      <c r="C200" s="27" t="str">
        <f aca="false">IF(B200="","",CHOOSE(WEEKDAY(B200,2),"Lundi","Mardi","Mercredi","Jeudi","Vendredi","Samedi","Dimanche"))</f>
        <v/>
      </c>
      <c r="D200" s="28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5" t="str">
        <f aca="false">IF(B200="","",OR(AND(H200="Achat",I200="Haussier"),AND(H200="Vente",I200="Baissier"))*1+OR(AND(H200="Achat",J200="Discount"),AND(H200="Vente",J200="Premium"))*1+AND(K200&lt;&gt;"",K200&lt;&gt;"Aucune")*1+OR(L200="CHoCH",L200="BOS")*1+(M200="Oui")*1+OR(G200="Londres",G200="New York")*1+(O200="Non")*1)</f>
        <v/>
      </c>
      <c r="Q200" s="27" t="str">
        <f aca="false">IF(P200="","",IF(P200=7,"A+",IF(P200&gt;=5,"B","C")))</f>
        <v/>
      </c>
      <c r="R200" s="29"/>
      <c r="S200" s="29"/>
      <c r="T200" s="27" t="str">
        <f aca="false">IF(OR(R200="",S200=""),"",R200+(R200-S200)*Paramètres!$B$6)</f>
        <v/>
      </c>
      <c r="U200" s="29"/>
      <c r="V200" s="27" t="str">
        <f aca="false">IF(OR(R200="",S200=""),"",ABS(R200-S200))</f>
        <v/>
      </c>
      <c r="W200" s="30" t="str">
        <f aca="false">IF(OR(U200="",V200="",N(V200)=0),"",ABS(U200-R200)/V200)</f>
        <v/>
      </c>
      <c r="X200" s="31"/>
      <c r="Y200" s="29"/>
      <c r="Z200" s="32"/>
      <c r="AA200" s="33" t="str">
        <f aca="false">IF(Y200="","",IF(Y200="Stop",-1,IF(Y200="BE",0,IF(Y200="TP1 + BE",Paramètres!$B$7*Paramètres!$B$6,IF(Y200="TP1 (100 %)",Paramètres!$B$6,IF(Y200="TP2",Paramètres!$B$7*Paramètres!$B$6+(1-Paramètres!$B$7)*N(W200),IF(Y200="Sortie manuelle",N(Z200),"")))))))</f>
        <v/>
      </c>
      <c r="AB200" s="34" t="str">
        <f aca="false">IF(AA200="","",AA200*IF(X200="",Paramètres!$B$5,X200))</f>
        <v/>
      </c>
      <c r="AC200" s="35" t="str">
        <f aca="false">IF(AB200="","",Paramètres!$B$4*(1+SUM(AB$5:AB200)))</f>
        <v/>
      </c>
      <c r="AD200" s="29"/>
      <c r="AE200" s="29"/>
      <c r="AF200" s="29"/>
      <c r="AG200" s="36"/>
      <c r="AH200" s="36"/>
      <c r="AI200" s="33" t="str">
        <f aca="false">IF(AA200="","",SUM(AA$5:AA200))</f>
        <v/>
      </c>
      <c r="AJ200" s="33" t="str">
        <f aca="false">IF(AI200="","",MAX(AI200,MAX(AJ$5:AJ199),0))</f>
        <v/>
      </c>
      <c r="AK200" s="33" t="str">
        <f aca="false">IF(AI200="","",AI200-AJ200)</f>
        <v/>
      </c>
      <c r="AL200" s="25" t="str">
        <f aca="false">IF(AA200="","",IF(AA200&lt;0,N(AL199)+1,0))</f>
        <v/>
      </c>
      <c r="AM200" s="37" t="str">
        <f aca="false">IF(B200="","",B200-WEEKDAY(B200,2)+1)</f>
        <v/>
      </c>
    </row>
    <row r="201" customFormat="false" ht="15" hidden="false" customHeight="false" outlineLevel="0" collapsed="false">
      <c r="A201" s="25" t="str">
        <f aca="false">IF(B201="","",ROW()-4)</f>
        <v/>
      </c>
      <c r="B201" s="26"/>
      <c r="C201" s="27" t="str">
        <f aca="false">IF(B201="","",CHOOSE(WEEKDAY(B201,2),"Lundi","Mardi","Mercredi","Jeudi","Vendredi","Samedi","Dimanche"))</f>
        <v/>
      </c>
      <c r="D201" s="28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5" t="str">
        <f aca="false">IF(B201="","",OR(AND(H201="Achat",I201="Haussier"),AND(H201="Vente",I201="Baissier"))*1+OR(AND(H201="Achat",J201="Discount"),AND(H201="Vente",J201="Premium"))*1+AND(K201&lt;&gt;"",K201&lt;&gt;"Aucune")*1+OR(L201="CHoCH",L201="BOS")*1+(M201="Oui")*1+OR(G201="Londres",G201="New York")*1+(O201="Non")*1)</f>
        <v/>
      </c>
      <c r="Q201" s="27" t="str">
        <f aca="false">IF(P201="","",IF(P201=7,"A+",IF(P201&gt;=5,"B","C")))</f>
        <v/>
      </c>
      <c r="R201" s="29"/>
      <c r="S201" s="29"/>
      <c r="T201" s="27" t="str">
        <f aca="false">IF(OR(R201="",S201=""),"",R201+(R201-S201)*Paramètres!$B$6)</f>
        <v/>
      </c>
      <c r="U201" s="29"/>
      <c r="V201" s="27" t="str">
        <f aca="false">IF(OR(R201="",S201=""),"",ABS(R201-S201))</f>
        <v/>
      </c>
      <c r="W201" s="30" t="str">
        <f aca="false">IF(OR(U201="",V201="",N(V201)=0),"",ABS(U201-R201)/V201)</f>
        <v/>
      </c>
      <c r="X201" s="31"/>
      <c r="Y201" s="29"/>
      <c r="Z201" s="32"/>
      <c r="AA201" s="33" t="str">
        <f aca="false">IF(Y201="","",IF(Y201="Stop",-1,IF(Y201="BE",0,IF(Y201="TP1 + BE",Paramètres!$B$7*Paramètres!$B$6,IF(Y201="TP1 (100 %)",Paramètres!$B$6,IF(Y201="TP2",Paramètres!$B$7*Paramètres!$B$6+(1-Paramètres!$B$7)*N(W201),IF(Y201="Sortie manuelle",N(Z201),"")))))))</f>
        <v/>
      </c>
      <c r="AB201" s="34" t="str">
        <f aca="false">IF(AA201="","",AA201*IF(X201="",Paramètres!$B$5,X201))</f>
        <v/>
      </c>
      <c r="AC201" s="35" t="str">
        <f aca="false">IF(AB201="","",Paramètres!$B$4*(1+SUM(AB$5:AB201)))</f>
        <v/>
      </c>
      <c r="AD201" s="29"/>
      <c r="AE201" s="29"/>
      <c r="AF201" s="29"/>
      <c r="AG201" s="36"/>
      <c r="AH201" s="36"/>
      <c r="AI201" s="33" t="str">
        <f aca="false">IF(AA201="","",SUM(AA$5:AA201))</f>
        <v/>
      </c>
      <c r="AJ201" s="33" t="str">
        <f aca="false">IF(AI201="","",MAX(AI201,MAX(AJ$5:AJ200),0))</f>
        <v/>
      </c>
      <c r="AK201" s="33" t="str">
        <f aca="false">IF(AI201="","",AI201-AJ201)</f>
        <v/>
      </c>
      <c r="AL201" s="25" t="str">
        <f aca="false">IF(AA201="","",IF(AA201&lt;0,N(AL200)+1,0))</f>
        <v/>
      </c>
      <c r="AM201" s="37" t="str">
        <f aca="false">IF(B201="","",B201-WEEKDAY(B201,2)+1)</f>
        <v/>
      </c>
    </row>
    <row r="202" customFormat="false" ht="15" hidden="false" customHeight="false" outlineLevel="0" collapsed="false">
      <c r="A202" s="25" t="str">
        <f aca="false">IF(B202="","",ROW()-4)</f>
        <v/>
      </c>
      <c r="B202" s="26"/>
      <c r="C202" s="27" t="str">
        <f aca="false">IF(B202="","",CHOOSE(WEEKDAY(B202,2),"Lundi","Mardi","Mercredi","Jeudi","Vendredi","Samedi","Dimanche"))</f>
        <v/>
      </c>
      <c r="D202" s="28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5" t="str">
        <f aca="false">IF(B202="","",OR(AND(H202="Achat",I202="Haussier"),AND(H202="Vente",I202="Baissier"))*1+OR(AND(H202="Achat",J202="Discount"),AND(H202="Vente",J202="Premium"))*1+AND(K202&lt;&gt;"",K202&lt;&gt;"Aucune")*1+OR(L202="CHoCH",L202="BOS")*1+(M202="Oui")*1+OR(G202="Londres",G202="New York")*1+(O202="Non")*1)</f>
        <v/>
      </c>
      <c r="Q202" s="27" t="str">
        <f aca="false">IF(P202="","",IF(P202=7,"A+",IF(P202&gt;=5,"B","C")))</f>
        <v/>
      </c>
      <c r="R202" s="29"/>
      <c r="S202" s="29"/>
      <c r="T202" s="27" t="str">
        <f aca="false">IF(OR(R202="",S202=""),"",R202+(R202-S202)*Paramètres!$B$6)</f>
        <v/>
      </c>
      <c r="U202" s="29"/>
      <c r="V202" s="27" t="str">
        <f aca="false">IF(OR(R202="",S202=""),"",ABS(R202-S202))</f>
        <v/>
      </c>
      <c r="W202" s="30" t="str">
        <f aca="false">IF(OR(U202="",V202="",N(V202)=0),"",ABS(U202-R202)/V202)</f>
        <v/>
      </c>
      <c r="X202" s="31"/>
      <c r="Y202" s="29"/>
      <c r="Z202" s="32"/>
      <c r="AA202" s="33" t="str">
        <f aca="false">IF(Y202="","",IF(Y202="Stop",-1,IF(Y202="BE",0,IF(Y202="TP1 + BE",Paramètres!$B$7*Paramètres!$B$6,IF(Y202="TP1 (100 %)",Paramètres!$B$6,IF(Y202="TP2",Paramètres!$B$7*Paramètres!$B$6+(1-Paramètres!$B$7)*N(W202),IF(Y202="Sortie manuelle",N(Z202),"")))))))</f>
        <v/>
      </c>
      <c r="AB202" s="34" t="str">
        <f aca="false">IF(AA202="","",AA202*IF(X202="",Paramètres!$B$5,X202))</f>
        <v/>
      </c>
      <c r="AC202" s="35" t="str">
        <f aca="false">IF(AB202="","",Paramètres!$B$4*(1+SUM(AB$5:AB202)))</f>
        <v/>
      </c>
      <c r="AD202" s="29"/>
      <c r="AE202" s="29"/>
      <c r="AF202" s="29"/>
      <c r="AG202" s="36"/>
      <c r="AH202" s="36"/>
      <c r="AI202" s="33" t="str">
        <f aca="false">IF(AA202="","",SUM(AA$5:AA202))</f>
        <v/>
      </c>
      <c r="AJ202" s="33" t="str">
        <f aca="false">IF(AI202="","",MAX(AI202,MAX(AJ$5:AJ201),0))</f>
        <v/>
      </c>
      <c r="AK202" s="33" t="str">
        <f aca="false">IF(AI202="","",AI202-AJ202)</f>
        <v/>
      </c>
      <c r="AL202" s="25" t="str">
        <f aca="false">IF(AA202="","",IF(AA202&lt;0,N(AL201)+1,0))</f>
        <v/>
      </c>
      <c r="AM202" s="37" t="str">
        <f aca="false">IF(B202="","",B202-WEEKDAY(B202,2)+1)</f>
        <v/>
      </c>
    </row>
    <row r="203" customFormat="false" ht="15" hidden="false" customHeight="false" outlineLevel="0" collapsed="false">
      <c r="A203" s="25" t="str">
        <f aca="false">IF(B203="","",ROW()-4)</f>
        <v/>
      </c>
      <c r="B203" s="26"/>
      <c r="C203" s="27" t="str">
        <f aca="false">IF(B203="","",CHOOSE(WEEKDAY(B203,2),"Lundi","Mardi","Mercredi","Jeudi","Vendredi","Samedi","Dimanche"))</f>
        <v/>
      </c>
      <c r="D203" s="28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5" t="str">
        <f aca="false">IF(B203="","",OR(AND(H203="Achat",I203="Haussier"),AND(H203="Vente",I203="Baissier"))*1+OR(AND(H203="Achat",J203="Discount"),AND(H203="Vente",J203="Premium"))*1+AND(K203&lt;&gt;"",K203&lt;&gt;"Aucune")*1+OR(L203="CHoCH",L203="BOS")*1+(M203="Oui")*1+OR(G203="Londres",G203="New York")*1+(O203="Non")*1)</f>
        <v/>
      </c>
      <c r="Q203" s="27" t="str">
        <f aca="false">IF(P203="","",IF(P203=7,"A+",IF(P203&gt;=5,"B","C")))</f>
        <v/>
      </c>
      <c r="R203" s="29"/>
      <c r="S203" s="29"/>
      <c r="T203" s="27" t="str">
        <f aca="false">IF(OR(R203="",S203=""),"",R203+(R203-S203)*Paramètres!$B$6)</f>
        <v/>
      </c>
      <c r="U203" s="29"/>
      <c r="V203" s="27" t="str">
        <f aca="false">IF(OR(R203="",S203=""),"",ABS(R203-S203))</f>
        <v/>
      </c>
      <c r="W203" s="30" t="str">
        <f aca="false">IF(OR(U203="",V203="",N(V203)=0),"",ABS(U203-R203)/V203)</f>
        <v/>
      </c>
      <c r="X203" s="31"/>
      <c r="Y203" s="29"/>
      <c r="Z203" s="32"/>
      <c r="AA203" s="33" t="str">
        <f aca="false">IF(Y203="","",IF(Y203="Stop",-1,IF(Y203="BE",0,IF(Y203="TP1 + BE",Paramètres!$B$7*Paramètres!$B$6,IF(Y203="TP1 (100 %)",Paramètres!$B$6,IF(Y203="TP2",Paramètres!$B$7*Paramètres!$B$6+(1-Paramètres!$B$7)*N(W203),IF(Y203="Sortie manuelle",N(Z203),"")))))))</f>
        <v/>
      </c>
      <c r="AB203" s="34" t="str">
        <f aca="false">IF(AA203="","",AA203*IF(X203="",Paramètres!$B$5,X203))</f>
        <v/>
      </c>
      <c r="AC203" s="35" t="str">
        <f aca="false">IF(AB203="","",Paramètres!$B$4*(1+SUM(AB$5:AB203)))</f>
        <v/>
      </c>
      <c r="AD203" s="29"/>
      <c r="AE203" s="29"/>
      <c r="AF203" s="29"/>
      <c r="AG203" s="36"/>
      <c r="AH203" s="36"/>
      <c r="AI203" s="33" t="str">
        <f aca="false">IF(AA203="","",SUM(AA$5:AA203))</f>
        <v/>
      </c>
      <c r="AJ203" s="33" t="str">
        <f aca="false">IF(AI203="","",MAX(AI203,MAX(AJ$5:AJ202),0))</f>
        <v/>
      </c>
      <c r="AK203" s="33" t="str">
        <f aca="false">IF(AI203="","",AI203-AJ203)</f>
        <v/>
      </c>
      <c r="AL203" s="25" t="str">
        <f aca="false">IF(AA203="","",IF(AA203&lt;0,N(AL202)+1,0))</f>
        <v/>
      </c>
      <c r="AM203" s="37" t="str">
        <f aca="false">IF(B203="","",B203-WEEKDAY(B203,2)+1)</f>
        <v/>
      </c>
    </row>
    <row r="204" customFormat="false" ht="15" hidden="false" customHeight="false" outlineLevel="0" collapsed="false">
      <c r="A204" s="25" t="str">
        <f aca="false">IF(B204="","",ROW()-4)</f>
        <v/>
      </c>
      <c r="B204" s="26"/>
      <c r="C204" s="27" t="str">
        <f aca="false">IF(B204="","",CHOOSE(WEEKDAY(B204,2),"Lundi","Mardi","Mercredi","Jeudi","Vendredi","Samedi","Dimanche"))</f>
        <v/>
      </c>
      <c r="D204" s="28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5" t="str">
        <f aca="false">IF(B204="","",OR(AND(H204="Achat",I204="Haussier"),AND(H204="Vente",I204="Baissier"))*1+OR(AND(H204="Achat",J204="Discount"),AND(H204="Vente",J204="Premium"))*1+AND(K204&lt;&gt;"",K204&lt;&gt;"Aucune")*1+OR(L204="CHoCH",L204="BOS")*1+(M204="Oui")*1+OR(G204="Londres",G204="New York")*1+(O204="Non")*1)</f>
        <v/>
      </c>
      <c r="Q204" s="27" t="str">
        <f aca="false">IF(P204="","",IF(P204=7,"A+",IF(P204&gt;=5,"B","C")))</f>
        <v/>
      </c>
      <c r="R204" s="29"/>
      <c r="S204" s="29"/>
      <c r="T204" s="27" t="str">
        <f aca="false">IF(OR(R204="",S204=""),"",R204+(R204-S204)*Paramètres!$B$6)</f>
        <v/>
      </c>
      <c r="U204" s="29"/>
      <c r="V204" s="27" t="str">
        <f aca="false">IF(OR(R204="",S204=""),"",ABS(R204-S204))</f>
        <v/>
      </c>
      <c r="W204" s="30" t="str">
        <f aca="false">IF(OR(U204="",V204="",N(V204)=0),"",ABS(U204-R204)/V204)</f>
        <v/>
      </c>
      <c r="X204" s="31"/>
      <c r="Y204" s="29"/>
      <c r="Z204" s="32"/>
      <c r="AA204" s="33" t="str">
        <f aca="false">IF(Y204="","",IF(Y204="Stop",-1,IF(Y204="BE",0,IF(Y204="TP1 + BE",Paramètres!$B$7*Paramètres!$B$6,IF(Y204="TP1 (100 %)",Paramètres!$B$6,IF(Y204="TP2",Paramètres!$B$7*Paramètres!$B$6+(1-Paramètres!$B$7)*N(W204),IF(Y204="Sortie manuelle",N(Z204),"")))))))</f>
        <v/>
      </c>
      <c r="AB204" s="34" t="str">
        <f aca="false">IF(AA204="","",AA204*IF(X204="",Paramètres!$B$5,X204))</f>
        <v/>
      </c>
      <c r="AC204" s="35" t="str">
        <f aca="false">IF(AB204="","",Paramètres!$B$4*(1+SUM(AB$5:AB204)))</f>
        <v/>
      </c>
      <c r="AD204" s="29"/>
      <c r="AE204" s="29"/>
      <c r="AF204" s="29"/>
      <c r="AG204" s="36"/>
      <c r="AH204" s="36"/>
      <c r="AI204" s="33" t="str">
        <f aca="false">IF(AA204="","",SUM(AA$5:AA204))</f>
        <v/>
      </c>
      <c r="AJ204" s="33" t="str">
        <f aca="false">IF(AI204="","",MAX(AI204,MAX(AJ$5:AJ203),0))</f>
        <v/>
      </c>
      <c r="AK204" s="33" t="str">
        <f aca="false">IF(AI204="","",AI204-AJ204)</f>
        <v/>
      </c>
      <c r="AL204" s="25" t="str">
        <f aca="false">IF(AA204="","",IF(AA204&lt;0,N(AL203)+1,0))</f>
        <v/>
      </c>
      <c r="AM204" s="37" t="str">
        <f aca="false">IF(B204="","",B204-WEEKDAY(B204,2)+1)</f>
        <v/>
      </c>
    </row>
    <row r="205" customFormat="false" ht="15" hidden="false" customHeight="false" outlineLevel="0" collapsed="false">
      <c r="A205" s="25" t="str">
        <f aca="false">IF(B205="","",ROW()-4)</f>
        <v/>
      </c>
      <c r="B205" s="26"/>
      <c r="C205" s="27" t="str">
        <f aca="false">IF(B205="","",CHOOSE(WEEKDAY(B205,2),"Lundi","Mardi","Mercredi","Jeudi","Vendredi","Samedi","Dimanche"))</f>
        <v/>
      </c>
      <c r="D205" s="28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5" t="str">
        <f aca="false">IF(B205="","",OR(AND(H205="Achat",I205="Haussier"),AND(H205="Vente",I205="Baissier"))*1+OR(AND(H205="Achat",J205="Discount"),AND(H205="Vente",J205="Premium"))*1+AND(K205&lt;&gt;"",K205&lt;&gt;"Aucune")*1+OR(L205="CHoCH",L205="BOS")*1+(M205="Oui")*1+OR(G205="Londres",G205="New York")*1+(O205="Non")*1)</f>
        <v/>
      </c>
      <c r="Q205" s="27" t="str">
        <f aca="false">IF(P205="","",IF(P205=7,"A+",IF(P205&gt;=5,"B","C")))</f>
        <v/>
      </c>
      <c r="R205" s="29"/>
      <c r="S205" s="29"/>
      <c r="T205" s="27" t="str">
        <f aca="false">IF(OR(R205="",S205=""),"",R205+(R205-S205)*Paramètres!$B$6)</f>
        <v/>
      </c>
      <c r="U205" s="29"/>
      <c r="V205" s="27" t="str">
        <f aca="false">IF(OR(R205="",S205=""),"",ABS(R205-S205))</f>
        <v/>
      </c>
      <c r="W205" s="30" t="str">
        <f aca="false">IF(OR(U205="",V205="",N(V205)=0),"",ABS(U205-R205)/V205)</f>
        <v/>
      </c>
      <c r="X205" s="31"/>
      <c r="Y205" s="29"/>
      <c r="Z205" s="32"/>
      <c r="AA205" s="33" t="str">
        <f aca="false">IF(Y205="","",IF(Y205="Stop",-1,IF(Y205="BE",0,IF(Y205="TP1 + BE",Paramètres!$B$7*Paramètres!$B$6,IF(Y205="TP1 (100 %)",Paramètres!$B$6,IF(Y205="TP2",Paramètres!$B$7*Paramètres!$B$6+(1-Paramètres!$B$7)*N(W205),IF(Y205="Sortie manuelle",N(Z205),"")))))))</f>
        <v/>
      </c>
      <c r="AB205" s="34" t="str">
        <f aca="false">IF(AA205="","",AA205*IF(X205="",Paramètres!$B$5,X205))</f>
        <v/>
      </c>
      <c r="AC205" s="35" t="str">
        <f aca="false">IF(AB205="","",Paramètres!$B$4*(1+SUM(AB$5:AB205)))</f>
        <v/>
      </c>
      <c r="AD205" s="29"/>
      <c r="AE205" s="29"/>
      <c r="AF205" s="29"/>
      <c r="AG205" s="36"/>
      <c r="AH205" s="36"/>
      <c r="AI205" s="33" t="str">
        <f aca="false">IF(AA205="","",SUM(AA$5:AA205))</f>
        <v/>
      </c>
      <c r="AJ205" s="33" t="str">
        <f aca="false">IF(AI205="","",MAX(AI205,MAX(AJ$5:AJ204),0))</f>
        <v/>
      </c>
      <c r="AK205" s="33" t="str">
        <f aca="false">IF(AI205="","",AI205-AJ205)</f>
        <v/>
      </c>
      <c r="AL205" s="25" t="str">
        <f aca="false">IF(AA205="","",IF(AA205&lt;0,N(AL204)+1,0))</f>
        <v/>
      </c>
      <c r="AM205" s="37" t="str">
        <f aca="false">IF(B205="","",B205-WEEKDAY(B205,2)+1)</f>
        <v/>
      </c>
    </row>
    <row r="206" customFormat="false" ht="15" hidden="false" customHeight="false" outlineLevel="0" collapsed="false">
      <c r="A206" s="25" t="str">
        <f aca="false">IF(B206="","",ROW()-4)</f>
        <v/>
      </c>
      <c r="B206" s="26"/>
      <c r="C206" s="27" t="str">
        <f aca="false">IF(B206="","",CHOOSE(WEEKDAY(B206,2),"Lundi","Mardi","Mercredi","Jeudi","Vendredi","Samedi","Dimanche"))</f>
        <v/>
      </c>
      <c r="D206" s="28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5" t="str">
        <f aca="false">IF(B206="","",OR(AND(H206="Achat",I206="Haussier"),AND(H206="Vente",I206="Baissier"))*1+OR(AND(H206="Achat",J206="Discount"),AND(H206="Vente",J206="Premium"))*1+AND(K206&lt;&gt;"",K206&lt;&gt;"Aucune")*1+OR(L206="CHoCH",L206="BOS")*1+(M206="Oui")*1+OR(G206="Londres",G206="New York")*1+(O206="Non")*1)</f>
        <v/>
      </c>
      <c r="Q206" s="27" t="str">
        <f aca="false">IF(P206="","",IF(P206=7,"A+",IF(P206&gt;=5,"B","C")))</f>
        <v/>
      </c>
      <c r="R206" s="29"/>
      <c r="S206" s="29"/>
      <c r="T206" s="27" t="str">
        <f aca="false">IF(OR(R206="",S206=""),"",R206+(R206-S206)*Paramètres!$B$6)</f>
        <v/>
      </c>
      <c r="U206" s="29"/>
      <c r="V206" s="27" t="str">
        <f aca="false">IF(OR(R206="",S206=""),"",ABS(R206-S206))</f>
        <v/>
      </c>
      <c r="W206" s="30" t="str">
        <f aca="false">IF(OR(U206="",V206="",N(V206)=0),"",ABS(U206-R206)/V206)</f>
        <v/>
      </c>
      <c r="X206" s="31"/>
      <c r="Y206" s="29"/>
      <c r="Z206" s="32"/>
      <c r="AA206" s="33" t="str">
        <f aca="false">IF(Y206="","",IF(Y206="Stop",-1,IF(Y206="BE",0,IF(Y206="TP1 + BE",Paramètres!$B$7*Paramètres!$B$6,IF(Y206="TP1 (100 %)",Paramètres!$B$6,IF(Y206="TP2",Paramètres!$B$7*Paramètres!$B$6+(1-Paramètres!$B$7)*N(W206),IF(Y206="Sortie manuelle",N(Z206),"")))))))</f>
        <v/>
      </c>
      <c r="AB206" s="34" t="str">
        <f aca="false">IF(AA206="","",AA206*IF(X206="",Paramètres!$B$5,X206))</f>
        <v/>
      </c>
      <c r="AC206" s="35" t="str">
        <f aca="false">IF(AB206="","",Paramètres!$B$4*(1+SUM(AB$5:AB206)))</f>
        <v/>
      </c>
      <c r="AD206" s="29"/>
      <c r="AE206" s="29"/>
      <c r="AF206" s="29"/>
      <c r="AG206" s="36"/>
      <c r="AH206" s="36"/>
      <c r="AI206" s="33" t="str">
        <f aca="false">IF(AA206="","",SUM(AA$5:AA206))</f>
        <v/>
      </c>
      <c r="AJ206" s="33" t="str">
        <f aca="false">IF(AI206="","",MAX(AI206,MAX(AJ$5:AJ205),0))</f>
        <v/>
      </c>
      <c r="AK206" s="33" t="str">
        <f aca="false">IF(AI206="","",AI206-AJ206)</f>
        <v/>
      </c>
      <c r="AL206" s="25" t="str">
        <f aca="false">IF(AA206="","",IF(AA206&lt;0,N(AL205)+1,0))</f>
        <v/>
      </c>
      <c r="AM206" s="37" t="str">
        <f aca="false">IF(B206="","",B206-WEEKDAY(B206,2)+1)</f>
        <v/>
      </c>
    </row>
    <row r="207" customFormat="false" ht="15" hidden="false" customHeight="false" outlineLevel="0" collapsed="false">
      <c r="A207" s="25" t="str">
        <f aca="false">IF(B207="","",ROW()-4)</f>
        <v/>
      </c>
      <c r="B207" s="26"/>
      <c r="C207" s="27" t="str">
        <f aca="false">IF(B207="","",CHOOSE(WEEKDAY(B207,2),"Lundi","Mardi","Mercredi","Jeudi","Vendredi","Samedi","Dimanche"))</f>
        <v/>
      </c>
      <c r="D207" s="28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5" t="str">
        <f aca="false">IF(B207="","",OR(AND(H207="Achat",I207="Haussier"),AND(H207="Vente",I207="Baissier"))*1+OR(AND(H207="Achat",J207="Discount"),AND(H207="Vente",J207="Premium"))*1+AND(K207&lt;&gt;"",K207&lt;&gt;"Aucune")*1+OR(L207="CHoCH",L207="BOS")*1+(M207="Oui")*1+OR(G207="Londres",G207="New York")*1+(O207="Non")*1)</f>
        <v/>
      </c>
      <c r="Q207" s="27" t="str">
        <f aca="false">IF(P207="","",IF(P207=7,"A+",IF(P207&gt;=5,"B","C")))</f>
        <v/>
      </c>
      <c r="R207" s="29"/>
      <c r="S207" s="29"/>
      <c r="T207" s="27" t="str">
        <f aca="false">IF(OR(R207="",S207=""),"",R207+(R207-S207)*Paramètres!$B$6)</f>
        <v/>
      </c>
      <c r="U207" s="29"/>
      <c r="V207" s="27" t="str">
        <f aca="false">IF(OR(R207="",S207=""),"",ABS(R207-S207))</f>
        <v/>
      </c>
      <c r="W207" s="30" t="str">
        <f aca="false">IF(OR(U207="",V207="",N(V207)=0),"",ABS(U207-R207)/V207)</f>
        <v/>
      </c>
      <c r="X207" s="31"/>
      <c r="Y207" s="29"/>
      <c r="Z207" s="32"/>
      <c r="AA207" s="33" t="str">
        <f aca="false">IF(Y207="","",IF(Y207="Stop",-1,IF(Y207="BE",0,IF(Y207="TP1 + BE",Paramètres!$B$7*Paramètres!$B$6,IF(Y207="TP1 (100 %)",Paramètres!$B$6,IF(Y207="TP2",Paramètres!$B$7*Paramètres!$B$6+(1-Paramètres!$B$7)*N(W207),IF(Y207="Sortie manuelle",N(Z207),"")))))))</f>
        <v/>
      </c>
      <c r="AB207" s="34" t="str">
        <f aca="false">IF(AA207="","",AA207*IF(X207="",Paramètres!$B$5,X207))</f>
        <v/>
      </c>
      <c r="AC207" s="35" t="str">
        <f aca="false">IF(AB207="","",Paramètres!$B$4*(1+SUM(AB$5:AB207)))</f>
        <v/>
      </c>
      <c r="AD207" s="29"/>
      <c r="AE207" s="29"/>
      <c r="AF207" s="29"/>
      <c r="AG207" s="36"/>
      <c r="AH207" s="36"/>
      <c r="AI207" s="33" t="str">
        <f aca="false">IF(AA207="","",SUM(AA$5:AA207))</f>
        <v/>
      </c>
      <c r="AJ207" s="33" t="str">
        <f aca="false">IF(AI207="","",MAX(AI207,MAX(AJ$5:AJ206),0))</f>
        <v/>
      </c>
      <c r="AK207" s="33" t="str">
        <f aca="false">IF(AI207="","",AI207-AJ207)</f>
        <v/>
      </c>
      <c r="AL207" s="25" t="str">
        <f aca="false">IF(AA207="","",IF(AA207&lt;0,N(AL206)+1,0))</f>
        <v/>
      </c>
      <c r="AM207" s="37" t="str">
        <f aca="false">IF(B207="","",B207-WEEKDAY(B207,2)+1)</f>
        <v/>
      </c>
    </row>
    <row r="208" customFormat="false" ht="15" hidden="false" customHeight="false" outlineLevel="0" collapsed="false">
      <c r="A208" s="25" t="str">
        <f aca="false">IF(B208="","",ROW()-4)</f>
        <v/>
      </c>
      <c r="B208" s="26"/>
      <c r="C208" s="27" t="str">
        <f aca="false">IF(B208="","",CHOOSE(WEEKDAY(B208,2),"Lundi","Mardi","Mercredi","Jeudi","Vendredi","Samedi","Dimanche"))</f>
        <v/>
      </c>
      <c r="D208" s="28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5" t="str">
        <f aca="false">IF(B208="","",OR(AND(H208="Achat",I208="Haussier"),AND(H208="Vente",I208="Baissier"))*1+OR(AND(H208="Achat",J208="Discount"),AND(H208="Vente",J208="Premium"))*1+AND(K208&lt;&gt;"",K208&lt;&gt;"Aucune")*1+OR(L208="CHoCH",L208="BOS")*1+(M208="Oui")*1+OR(G208="Londres",G208="New York")*1+(O208="Non")*1)</f>
        <v/>
      </c>
      <c r="Q208" s="27" t="str">
        <f aca="false">IF(P208="","",IF(P208=7,"A+",IF(P208&gt;=5,"B","C")))</f>
        <v/>
      </c>
      <c r="R208" s="29"/>
      <c r="S208" s="29"/>
      <c r="T208" s="27" t="str">
        <f aca="false">IF(OR(R208="",S208=""),"",R208+(R208-S208)*Paramètres!$B$6)</f>
        <v/>
      </c>
      <c r="U208" s="29"/>
      <c r="V208" s="27" t="str">
        <f aca="false">IF(OR(R208="",S208=""),"",ABS(R208-S208))</f>
        <v/>
      </c>
      <c r="W208" s="30" t="str">
        <f aca="false">IF(OR(U208="",V208="",N(V208)=0),"",ABS(U208-R208)/V208)</f>
        <v/>
      </c>
      <c r="X208" s="31"/>
      <c r="Y208" s="29"/>
      <c r="Z208" s="32"/>
      <c r="AA208" s="33" t="str">
        <f aca="false">IF(Y208="","",IF(Y208="Stop",-1,IF(Y208="BE",0,IF(Y208="TP1 + BE",Paramètres!$B$7*Paramètres!$B$6,IF(Y208="TP1 (100 %)",Paramètres!$B$6,IF(Y208="TP2",Paramètres!$B$7*Paramètres!$B$6+(1-Paramètres!$B$7)*N(W208),IF(Y208="Sortie manuelle",N(Z208),"")))))))</f>
        <v/>
      </c>
      <c r="AB208" s="34" t="str">
        <f aca="false">IF(AA208="","",AA208*IF(X208="",Paramètres!$B$5,X208))</f>
        <v/>
      </c>
      <c r="AC208" s="35" t="str">
        <f aca="false">IF(AB208="","",Paramètres!$B$4*(1+SUM(AB$5:AB208)))</f>
        <v/>
      </c>
      <c r="AD208" s="29"/>
      <c r="AE208" s="29"/>
      <c r="AF208" s="29"/>
      <c r="AG208" s="36"/>
      <c r="AH208" s="36"/>
      <c r="AI208" s="33" t="str">
        <f aca="false">IF(AA208="","",SUM(AA$5:AA208))</f>
        <v/>
      </c>
      <c r="AJ208" s="33" t="str">
        <f aca="false">IF(AI208="","",MAX(AI208,MAX(AJ$5:AJ207),0))</f>
        <v/>
      </c>
      <c r="AK208" s="33" t="str">
        <f aca="false">IF(AI208="","",AI208-AJ208)</f>
        <v/>
      </c>
      <c r="AL208" s="25" t="str">
        <f aca="false">IF(AA208="","",IF(AA208&lt;0,N(AL207)+1,0))</f>
        <v/>
      </c>
      <c r="AM208" s="37" t="str">
        <f aca="false">IF(B208="","",B208-WEEKDAY(B208,2)+1)</f>
        <v/>
      </c>
    </row>
    <row r="209" customFormat="false" ht="15" hidden="false" customHeight="false" outlineLevel="0" collapsed="false">
      <c r="A209" s="25" t="str">
        <f aca="false">IF(B209="","",ROW()-4)</f>
        <v/>
      </c>
      <c r="B209" s="26"/>
      <c r="C209" s="27" t="str">
        <f aca="false">IF(B209="","",CHOOSE(WEEKDAY(B209,2),"Lundi","Mardi","Mercredi","Jeudi","Vendredi","Samedi","Dimanche"))</f>
        <v/>
      </c>
      <c r="D209" s="28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5" t="str">
        <f aca="false">IF(B209="","",OR(AND(H209="Achat",I209="Haussier"),AND(H209="Vente",I209="Baissier"))*1+OR(AND(H209="Achat",J209="Discount"),AND(H209="Vente",J209="Premium"))*1+AND(K209&lt;&gt;"",K209&lt;&gt;"Aucune")*1+OR(L209="CHoCH",L209="BOS")*1+(M209="Oui")*1+OR(G209="Londres",G209="New York")*1+(O209="Non")*1)</f>
        <v/>
      </c>
      <c r="Q209" s="27" t="str">
        <f aca="false">IF(P209="","",IF(P209=7,"A+",IF(P209&gt;=5,"B","C")))</f>
        <v/>
      </c>
      <c r="R209" s="29"/>
      <c r="S209" s="29"/>
      <c r="T209" s="27" t="str">
        <f aca="false">IF(OR(R209="",S209=""),"",R209+(R209-S209)*Paramètres!$B$6)</f>
        <v/>
      </c>
      <c r="U209" s="29"/>
      <c r="V209" s="27" t="str">
        <f aca="false">IF(OR(R209="",S209=""),"",ABS(R209-S209))</f>
        <v/>
      </c>
      <c r="W209" s="30" t="str">
        <f aca="false">IF(OR(U209="",V209="",N(V209)=0),"",ABS(U209-R209)/V209)</f>
        <v/>
      </c>
      <c r="X209" s="31"/>
      <c r="Y209" s="29"/>
      <c r="Z209" s="32"/>
      <c r="AA209" s="33" t="str">
        <f aca="false">IF(Y209="","",IF(Y209="Stop",-1,IF(Y209="BE",0,IF(Y209="TP1 + BE",Paramètres!$B$7*Paramètres!$B$6,IF(Y209="TP1 (100 %)",Paramètres!$B$6,IF(Y209="TP2",Paramètres!$B$7*Paramètres!$B$6+(1-Paramètres!$B$7)*N(W209),IF(Y209="Sortie manuelle",N(Z209),"")))))))</f>
        <v/>
      </c>
      <c r="AB209" s="34" t="str">
        <f aca="false">IF(AA209="","",AA209*IF(X209="",Paramètres!$B$5,X209))</f>
        <v/>
      </c>
      <c r="AC209" s="35" t="str">
        <f aca="false">IF(AB209="","",Paramètres!$B$4*(1+SUM(AB$5:AB209)))</f>
        <v/>
      </c>
      <c r="AD209" s="29"/>
      <c r="AE209" s="29"/>
      <c r="AF209" s="29"/>
      <c r="AG209" s="36"/>
      <c r="AH209" s="36"/>
      <c r="AI209" s="33" t="str">
        <f aca="false">IF(AA209="","",SUM(AA$5:AA209))</f>
        <v/>
      </c>
      <c r="AJ209" s="33" t="str">
        <f aca="false">IF(AI209="","",MAX(AI209,MAX(AJ$5:AJ208),0))</f>
        <v/>
      </c>
      <c r="AK209" s="33" t="str">
        <f aca="false">IF(AI209="","",AI209-AJ209)</f>
        <v/>
      </c>
      <c r="AL209" s="25" t="str">
        <f aca="false">IF(AA209="","",IF(AA209&lt;0,N(AL208)+1,0))</f>
        <v/>
      </c>
      <c r="AM209" s="37" t="str">
        <f aca="false">IF(B209="","",B209-WEEKDAY(B209,2)+1)</f>
        <v/>
      </c>
    </row>
    <row r="210" customFormat="false" ht="15" hidden="false" customHeight="false" outlineLevel="0" collapsed="false">
      <c r="A210" s="25" t="str">
        <f aca="false">IF(B210="","",ROW()-4)</f>
        <v/>
      </c>
      <c r="B210" s="26"/>
      <c r="C210" s="27" t="str">
        <f aca="false">IF(B210="","",CHOOSE(WEEKDAY(B210,2),"Lundi","Mardi","Mercredi","Jeudi","Vendredi","Samedi","Dimanche"))</f>
        <v/>
      </c>
      <c r="D210" s="28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5" t="str">
        <f aca="false">IF(B210="","",OR(AND(H210="Achat",I210="Haussier"),AND(H210="Vente",I210="Baissier"))*1+OR(AND(H210="Achat",J210="Discount"),AND(H210="Vente",J210="Premium"))*1+AND(K210&lt;&gt;"",K210&lt;&gt;"Aucune")*1+OR(L210="CHoCH",L210="BOS")*1+(M210="Oui")*1+OR(G210="Londres",G210="New York")*1+(O210="Non")*1)</f>
        <v/>
      </c>
      <c r="Q210" s="27" t="str">
        <f aca="false">IF(P210="","",IF(P210=7,"A+",IF(P210&gt;=5,"B","C")))</f>
        <v/>
      </c>
      <c r="R210" s="29"/>
      <c r="S210" s="29"/>
      <c r="T210" s="27" t="str">
        <f aca="false">IF(OR(R210="",S210=""),"",R210+(R210-S210)*Paramètres!$B$6)</f>
        <v/>
      </c>
      <c r="U210" s="29"/>
      <c r="V210" s="27" t="str">
        <f aca="false">IF(OR(R210="",S210=""),"",ABS(R210-S210))</f>
        <v/>
      </c>
      <c r="W210" s="30" t="str">
        <f aca="false">IF(OR(U210="",V210="",N(V210)=0),"",ABS(U210-R210)/V210)</f>
        <v/>
      </c>
      <c r="X210" s="31"/>
      <c r="Y210" s="29"/>
      <c r="Z210" s="32"/>
      <c r="AA210" s="33" t="str">
        <f aca="false">IF(Y210="","",IF(Y210="Stop",-1,IF(Y210="BE",0,IF(Y210="TP1 + BE",Paramètres!$B$7*Paramètres!$B$6,IF(Y210="TP1 (100 %)",Paramètres!$B$6,IF(Y210="TP2",Paramètres!$B$7*Paramètres!$B$6+(1-Paramètres!$B$7)*N(W210),IF(Y210="Sortie manuelle",N(Z210),"")))))))</f>
        <v/>
      </c>
      <c r="AB210" s="34" t="str">
        <f aca="false">IF(AA210="","",AA210*IF(X210="",Paramètres!$B$5,X210))</f>
        <v/>
      </c>
      <c r="AC210" s="35" t="str">
        <f aca="false">IF(AB210="","",Paramètres!$B$4*(1+SUM(AB$5:AB210)))</f>
        <v/>
      </c>
      <c r="AD210" s="29"/>
      <c r="AE210" s="29"/>
      <c r="AF210" s="29"/>
      <c r="AG210" s="36"/>
      <c r="AH210" s="36"/>
      <c r="AI210" s="33" t="str">
        <f aca="false">IF(AA210="","",SUM(AA$5:AA210))</f>
        <v/>
      </c>
      <c r="AJ210" s="33" t="str">
        <f aca="false">IF(AI210="","",MAX(AI210,MAX(AJ$5:AJ209),0))</f>
        <v/>
      </c>
      <c r="AK210" s="33" t="str">
        <f aca="false">IF(AI210="","",AI210-AJ210)</f>
        <v/>
      </c>
      <c r="AL210" s="25" t="str">
        <f aca="false">IF(AA210="","",IF(AA210&lt;0,N(AL209)+1,0))</f>
        <v/>
      </c>
      <c r="AM210" s="37" t="str">
        <f aca="false">IF(B210="","",B210-WEEKDAY(B210,2)+1)</f>
        <v/>
      </c>
    </row>
    <row r="211" customFormat="false" ht="15" hidden="false" customHeight="false" outlineLevel="0" collapsed="false">
      <c r="A211" s="25" t="str">
        <f aca="false">IF(B211="","",ROW()-4)</f>
        <v/>
      </c>
      <c r="B211" s="26"/>
      <c r="C211" s="27" t="str">
        <f aca="false">IF(B211="","",CHOOSE(WEEKDAY(B211,2),"Lundi","Mardi","Mercredi","Jeudi","Vendredi","Samedi","Dimanche"))</f>
        <v/>
      </c>
      <c r="D211" s="28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5" t="str">
        <f aca="false">IF(B211="","",OR(AND(H211="Achat",I211="Haussier"),AND(H211="Vente",I211="Baissier"))*1+OR(AND(H211="Achat",J211="Discount"),AND(H211="Vente",J211="Premium"))*1+AND(K211&lt;&gt;"",K211&lt;&gt;"Aucune")*1+OR(L211="CHoCH",L211="BOS")*1+(M211="Oui")*1+OR(G211="Londres",G211="New York")*1+(O211="Non")*1)</f>
        <v/>
      </c>
      <c r="Q211" s="27" t="str">
        <f aca="false">IF(P211="","",IF(P211=7,"A+",IF(P211&gt;=5,"B","C")))</f>
        <v/>
      </c>
      <c r="R211" s="29"/>
      <c r="S211" s="29"/>
      <c r="T211" s="27" t="str">
        <f aca="false">IF(OR(R211="",S211=""),"",R211+(R211-S211)*Paramètres!$B$6)</f>
        <v/>
      </c>
      <c r="U211" s="29"/>
      <c r="V211" s="27" t="str">
        <f aca="false">IF(OR(R211="",S211=""),"",ABS(R211-S211))</f>
        <v/>
      </c>
      <c r="W211" s="30" t="str">
        <f aca="false">IF(OR(U211="",V211="",N(V211)=0),"",ABS(U211-R211)/V211)</f>
        <v/>
      </c>
      <c r="X211" s="31"/>
      <c r="Y211" s="29"/>
      <c r="Z211" s="32"/>
      <c r="AA211" s="33" t="str">
        <f aca="false">IF(Y211="","",IF(Y211="Stop",-1,IF(Y211="BE",0,IF(Y211="TP1 + BE",Paramètres!$B$7*Paramètres!$B$6,IF(Y211="TP1 (100 %)",Paramètres!$B$6,IF(Y211="TP2",Paramètres!$B$7*Paramètres!$B$6+(1-Paramètres!$B$7)*N(W211),IF(Y211="Sortie manuelle",N(Z211),"")))))))</f>
        <v/>
      </c>
      <c r="AB211" s="34" t="str">
        <f aca="false">IF(AA211="","",AA211*IF(X211="",Paramètres!$B$5,X211))</f>
        <v/>
      </c>
      <c r="AC211" s="35" t="str">
        <f aca="false">IF(AB211="","",Paramètres!$B$4*(1+SUM(AB$5:AB211)))</f>
        <v/>
      </c>
      <c r="AD211" s="29"/>
      <c r="AE211" s="29"/>
      <c r="AF211" s="29"/>
      <c r="AG211" s="36"/>
      <c r="AH211" s="36"/>
      <c r="AI211" s="33" t="str">
        <f aca="false">IF(AA211="","",SUM(AA$5:AA211))</f>
        <v/>
      </c>
      <c r="AJ211" s="33" t="str">
        <f aca="false">IF(AI211="","",MAX(AI211,MAX(AJ$5:AJ210),0))</f>
        <v/>
      </c>
      <c r="AK211" s="33" t="str">
        <f aca="false">IF(AI211="","",AI211-AJ211)</f>
        <v/>
      </c>
      <c r="AL211" s="25" t="str">
        <f aca="false">IF(AA211="","",IF(AA211&lt;0,N(AL210)+1,0))</f>
        <v/>
      </c>
      <c r="AM211" s="37" t="str">
        <f aca="false">IF(B211="","",B211-WEEKDAY(B211,2)+1)</f>
        <v/>
      </c>
    </row>
    <row r="212" customFormat="false" ht="15" hidden="false" customHeight="false" outlineLevel="0" collapsed="false">
      <c r="A212" s="25" t="str">
        <f aca="false">IF(B212="","",ROW()-4)</f>
        <v/>
      </c>
      <c r="B212" s="26"/>
      <c r="C212" s="27" t="str">
        <f aca="false">IF(B212="","",CHOOSE(WEEKDAY(B212,2),"Lundi","Mardi","Mercredi","Jeudi","Vendredi","Samedi","Dimanche"))</f>
        <v/>
      </c>
      <c r="D212" s="28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5" t="str">
        <f aca="false">IF(B212="","",OR(AND(H212="Achat",I212="Haussier"),AND(H212="Vente",I212="Baissier"))*1+OR(AND(H212="Achat",J212="Discount"),AND(H212="Vente",J212="Premium"))*1+AND(K212&lt;&gt;"",K212&lt;&gt;"Aucune")*1+OR(L212="CHoCH",L212="BOS")*1+(M212="Oui")*1+OR(G212="Londres",G212="New York")*1+(O212="Non")*1)</f>
        <v/>
      </c>
      <c r="Q212" s="27" t="str">
        <f aca="false">IF(P212="","",IF(P212=7,"A+",IF(P212&gt;=5,"B","C")))</f>
        <v/>
      </c>
      <c r="R212" s="29"/>
      <c r="S212" s="29"/>
      <c r="T212" s="27" t="str">
        <f aca="false">IF(OR(R212="",S212=""),"",R212+(R212-S212)*Paramètres!$B$6)</f>
        <v/>
      </c>
      <c r="U212" s="29"/>
      <c r="V212" s="27" t="str">
        <f aca="false">IF(OR(R212="",S212=""),"",ABS(R212-S212))</f>
        <v/>
      </c>
      <c r="W212" s="30" t="str">
        <f aca="false">IF(OR(U212="",V212="",N(V212)=0),"",ABS(U212-R212)/V212)</f>
        <v/>
      </c>
      <c r="X212" s="31"/>
      <c r="Y212" s="29"/>
      <c r="Z212" s="32"/>
      <c r="AA212" s="33" t="str">
        <f aca="false">IF(Y212="","",IF(Y212="Stop",-1,IF(Y212="BE",0,IF(Y212="TP1 + BE",Paramètres!$B$7*Paramètres!$B$6,IF(Y212="TP1 (100 %)",Paramètres!$B$6,IF(Y212="TP2",Paramètres!$B$7*Paramètres!$B$6+(1-Paramètres!$B$7)*N(W212),IF(Y212="Sortie manuelle",N(Z212),"")))))))</f>
        <v/>
      </c>
      <c r="AB212" s="34" t="str">
        <f aca="false">IF(AA212="","",AA212*IF(X212="",Paramètres!$B$5,X212))</f>
        <v/>
      </c>
      <c r="AC212" s="35" t="str">
        <f aca="false">IF(AB212="","",Paramètres!$B$4*(1+SUM(AB$5:AB212)))</f>
        <v/>
      </c>
      <c r="AD212" s="29"/>
      <c r="AE212" s="29"/>
      <c r="AF212" s="29"/>
      <c r="AG212" s="36"/>
      <c r="AH212" s="36"/>
      <c r="AI212" s="33" t="str">
        <f aca="false">IF(AA212="","",SUM(AA$5:AA212))</f>
        <v/>
      </c>
      <c r="AJ212" s="33" t="str">
        <f aca="false">IF(AI212="","",MAX(AI212,MAX(AJ$5:AJ211),0))</f>
        <v/>
      </c>
      <c r="AK212" s="33" t="str">
        <f aca="false">IF(AI212="","",AI212-AJ212)</f>
        <v/>
      </c>
      <c r="AL212" s="25" t="str">
        <f aca="false">IF(AA212="","",IF(AA212&lt;0,N(AL211)+1,0))</f>
        <v/>
      </c>
      <c r="AM212" s="37" t="str">
        <f aca="false">IF(B212="","",B212-WEEKDAY(B212,2)+1)</f>
        <v/>
      </c>
    </row>
    <row r="213" customFormat="false" ht="15" hidden="false" customHeight="false" outlineLevel="0" collapsed="false">
      <c r="A213" s="25" t="str">
        <f aca="false">IF(B213="","",ROW()-4)</f>
        <v/>
      </c>
      <c r="B213" s="26"/>
      <c r="C213" s="27" t="str">
        <f aca="false">IF(B213="","",CHOOSE(WEEKDAY(B213,2),"Lundi","Mardi","Mercredi","Jeudi","Vendredi","Samedi","Dimanche"))</f>
        <v/>
      </c>
      <c r="D213" s="28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5" t="str">
        <f aca="false">IF(B213="","",OR(AND(H213="Achat",I213="Haussier"),AND(H213="Vente",I213="Baissier"))*1+OR(AND(H213="Achat",J213="Discount"),AND(H213="Vente",J213="Premium"))*1+AND(K213&lt;&gt;"",K213&lt;&gt;"Aucune")*1+OR(L213="CHoCH",L213="BOS")*1+(M213="Oui")*1+OR(G213="Londres",G213="New York")*1+(O213="Non")*1)</f>
        <v/>
      </c>
      <c r="Q213" s="27" t="str">
        <f aca="false">IF(P213="","",IF(P213=7,"A+",IF(P213&gt;=5,"B","C")))</f>
        <v/>
      </c>
      <c r="R213" s="29"/>
      <c r="S213" s="29"/>
      <c r="T213" s="27" t="str">
        <f aca="false">IF(OR(R213="",S213=""),"",R213+(R213-S213)*Paramètres!$B$6)</f>
        <v/>
      </c>
      <c r="U213" s="29"/>
      <c r="V213" s="27" t="str">
        <f aca="false">IF(OR(R213="",S213=""),"",ABS(R213-S213))</f>
        <v/>
      </c>
      <c r="W213" s="30" t="str">
        <f aca="false">IF(OR(U213="",V213="",N(V213)=0),"",ABS(U213-R213)/V213)</f>
        <v/>
      </c>
      <c r="X213" s="31"/>
      <c r="Y213" s="29"/>
      <c r="Z213" s="32"/>
      <c r="AA213" s="33" t="str">
        <f aca="false">IF(Y213="","",IF(Y213="Stop",-1,IF(Y213="BE",0,IF(Y213="TP1 + BE",Paramètres!$B$7*Paramètres!$B$6,IF(Y213="TP1 (100 %)",Paramètres!$B$6,IF(Y213="TP2",Paramètres!$B$7*Paramètres!$B$6+(1-Paramètres!$B$7)*N(W213),IF(Y213="Sortie manuelle",N(Z213),"")))))))</f>
        <v/>
      </c>
      <c r="AB213" s="34" t="str">
        <f aca="false">IF(AA213="","",AA213*IF(X213="",Paramètres!$B$5,X213))</f>
        <v/>
      </c>
      <c r="AC213" s="35" t="str">
        <f aca="false">IF(AB213="","",Paramètres!$B$4*(1+SUM(AB$5:AB213)))</f>
        <v/>
      </c>
      <c r="AD213" s="29"/>
      <c r="AE213" s="29"/>
      <c r="AF213" s="29"/>
      <c r="AG213" s="36"/>
      <c r="AH213" s="36"/>
      <c r="AI213" s="33" t="str">
        <f aca="false">IF(AA213="","",SUM(AA$5:AA213))</f>
        <v/>
      </c>
      <c r="AJ213" s="33" t="str">
        <f aca="false">IF(AI213="","",MAX(AI213,MAX(AJ$5:AJ212),0))</f>
        <v/>
      </c>
      <c r="AK213" s="33" t="str">
        <f aca="false">IF(AI213="","",AI213-AJ213)</f>
        <v/>
      </c>
      <c r="AL213" s="25" t="str">
        <f aca="false">IF(AA213="","",IF(AA213&lt;0,N(AL212)+1,0))</f>
        <v/>
      </c>
      <c r="AM213" s="37" t="str">
        <f aca="false">IF(B213="","",B213-WEEKDAY(B213,2)+1)</f>
        <v/>
      </c>
    </row>
    <row r="214" customFormat="false" ht="15" hidden="false" customHeight="false" outlineLevel="0" collapsed="false">
      <c r="A214" s="25" t="str">
        <f aca="false">IF(B214="","",ROW()-4)</f>
        <v/>
      </c>
      <c r="B214" s="26"/>
      <c r="C214" s="27" t="str">
        <f aca="false">IF(B214="","",CHOOSE(WEEKDAY(B214,2),"Lundi","Mardi","Mercredi","Jeudi","Vendredi","Samedi","Dimanche"))</f>
        <v/>
      </c>
      <c r="D214" s="28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5" t="str">
        <f aca="false">IF(B214="","",OR(AND(H214="Achat",I214="Haussier"),AND(H214="Vente",I214="Baissier"))*1+OR(AND(H214="Achat",J214="Discount"),AND(H214="Vente",J214="Premium"))*1+AND(K214&lt;&gt;"",K214&lt;&gt;"Aucune")*1+OR(L214="CHoCH",L214="BOS")*1+(M214="Oui")*1+OR(G214="Londres",G214="New York")*1+(O214="Non")*1)</f>
        <v/>
      </c>
      <c r="Q214" s="27" t="str">
        <f aca="false">IF(P214="","",IF(P214=7,"A+",IF(P214&gt;=5,"B","C")))</f>
        <v/>
      </c>
      <c r="R214" s="29"/>
      <c r="S214" s="29"/>
      <c r="T214" s="27" t="str">
        <f aca="false">IF(OR(R214="",S214=""),"",R214+(R214-S214)*Paramètres!$B$6)</f>
        <v/>
      </c>
      <c r="U214" s="29"/>
      <c r="V214" s="27" t="str">
        <f aca="false">IF(OR(R214="",S214=""),"",ABS(R214-S214))</f>
        <v/>
      </c>
      <c r="W214" s="30" t="str">
        <f aca="false">IF(OR(U214="",V214="",N(V214)=0),"",ABS(U214-R214)/V214)</f>
        <v/>
      </c>
      <c r="X214" s="31"/>
      <c r="Y214" s="29"/>
      <c r="Z214" s="32"/>
      <c r="AA214" s="33" t="str">
        <f aca="false">IF(Y214="","",IF(Y214="Stop",-1,IF(Y214="BE",0,IF(Y214="TP1 + BE",Paramètres!$B$7*Paramètres!$B$6,IF(Y214="TP1 (100 %)",Paramètres!$B$6,IF(Y214="TP2",Paramètres!$B$7*Paramètres!$B$6+(1-Paramètres!$B$7)*N(W214),IF(Y214="Sortie manuelle",N(Z214),"")))))))</f>
        <v/>
      </c>
      <c r="AB214" s="34" t="str">
        <f aca="false">IF(AA214="","",AA214*IF(X214="",Paramètres!$B$5,X214))</f>
        <v/>
      </c>
      <c r="AC214" s="35" t="str">
        <f aca="false">IF(AB214="","",Paramètres!$B$4*(1+SUM(AB$5:AB214)))</f>
        <v/>
      </c>
      <c r="AD214" s="29"/>
      <c r="AE214" s="29"/>
      <c r="AF214" s="29"/>
      <c r="AG214" s="36"/>
      <c r="AH214" s="36"/>
      <c r="AI214" s="33" t="str">
        <f aca="false">IF(AA214="","",SUM(AA$5:AA214))</f>
        <v/>
      </c>
      <c r="AJ214" s="33" t="str">
        <f aca="false">IF(AI214="","",MAX(AI214,MAX(AJ$5:AJ213),0))</f>
        <v/>
      </c>
      <c r="AK214" s="33" t="str">
        <f aca="false">IF(AI214="","",AI214-AJ214)</f>
        <v/>
      </c>
      <c r="AL214" s="25" t="str">
        <f aca="false">IF(AA214="","",IF(AA214&lt;0,N(AL213)+1,0))</f>
        <v/>
      </c>
      <c r="AM214" s="37" t="str">
        <f aca="false">IF(B214="","",B214-WEEKDAY(B214,2)+1)</f>
        <v/>
      </c>
    </row>
    <row r="215" customFormat="false" ht="15" hidden="false" customHeight="false" outlineLevel="0" collapsed="false">
      <c r="A215" s="25" t="str">
        <f aca="false">IF(B215="","",ROW()-4)</f>
        <v/>
      </c>
      <c r="B215" s="26"/>
      <c r="C215" s="27" t="str">
        <f aca="false">IF(B215="","",CHOOSE(WEEKDAY(B215,2),"Lundi","Mardi","Mercredi","Jeudi","Vendredi","Samedi","Dimanche"))</f>
        <v/>
      </c>
      <c r="D215" s="28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5" t="str">
        <f aca="false">IF(B215="","",OR(AND(H215="Achat",I215="Haussier"),AND(H215="Vente",I215="Baissier"))*1+OR(AND(H215="Achat",J215="Discount"),AND(H215="Vente",J215="Premium"))*1+AND(K215&lt;&gt;"",K215&lt;&gt;"Aucune")*1+OR(L215="CHoCH",L215="BOS")*1+(M215="Oui")*1+OR(G215="Londres",G215="New York")*1+(O215="Non")*1)</f>
        <v/>
      </c>
      <c r="Q215" s="27" t="str">
        <f aca="false">IF(P215="","",IF(P215=7,"A+",IF(P215&gt;=5,"B","C")))</f>
        <v/>
      </c>
      <c r="R215" s="29"/>
      <c r="S215" s="29"/>
      <c r="T215" s="27" t="str">
        <f aca="false">IF(OR(R215="",S215=""),"",R215+(R215-S215)*Paramètres!$B$6)</f>
        <v/>
      </c>
      <c r="U215" s="29"/>
      <c r="V215" s="27" t="str">
        <f aca="false">IF(OR(R215="",S215=""),"",ABS(R215-S215))</f>
        <v/>
      </c>
      <c r="W215" s="30" t="str">
        <f aca="false">IF(OR(U215="",V215="",N(V215)=0),"",ABS(U215-R215)/V215)</f>
        <v/>
      </c>
      <c r="X215" s="31"/>
      <c r="Y215" s="29"/>
      <c r="Z215" s="32"/>
      <c r="AA215" s="33" t="str">
        <f aca="false">IF(Y215="","",IF(Y215="Stop",-1,IF(Y215="BE",0,IF(Y215="TP1 + BE",Paramètres!$B$7*Paramètres!$B$6,IF(Y215="TP1 (100 %)",Paramètres!$B$6,IF(Y215="TP2",Paramètres!$B$7*Paramètres!$B$6+(1-Paramètres!$B$7)*N(W215),IF(Y215="Sortie manuelle",N(Z215),"")))))))</f>
        <v/>
      </c>
      <c r="AB215" s="34" t="str">
        <f aca="false">IF(AA215="","",AA215*IF(X215="",Paramètres!$B$5,X215))</f>
        <v/>
      </c>
      <c r="AC215" s="35" t="str">
        <f aca="false">IF(AB215="","",Paramètres!$B$4*(1+SUM(AB$5:AB215)))</f>
        <v/>
      </c>
      <c r="AD215" s="29"/>
      <c r="AE215" s="29"/>
      <c r="AF215" s="29"/>
      <c r="AG215" s="36"/>
      <c r="AH215" s="36"/>
      <c r="AI215" s="33" t="str">
        <f aca="false">IF(AA215="","",SUM(AA$5:AA215))</f>
        <v/>
      </c>
      <c r="AJ215" s="33" t="str">
        <f aca="false">IF(AI215="","",MAX(AI215,MAX(AJ$5:AJ214),0))</f>
        <v/>
      </c>
      <c r="AK215" s="33" t="str">
        <f aca="false">IF(AI215="","",AI215-AJ215)</f>
        <v/>
      </c>
      <c r="AL215" s="25" t="str">
        <f aca="false">IF(AA215="","",IF(AA215&lt;0,N(AL214)+1,0))</f>
        <v/>
      </c>
      <c r="AM215" s="37" t="str">
        <f aca="false">IF(B215="","",B215-WEEKDAY(B215,2)+1)</f>
        <v/>
      </c>
    </row>
    <row r="216" customFormat="false" ht="15" hidden="false" customHeight="false" outlineLevel="0" collapsed="false">
      <c r="A216" s="25" t="str">
        <f aca="false">IF(B216="","",ROW()-4)</f>
        <v/>
      </c>
      <c r="B216" s="26"/>
      <c r="C216" s="27" t="str">
        <f aca="false">IF(B216="","",CHOOSE(WEEKDAY(B216,2),"Lundi","Mardi","Mercredi","Jeudi","Vendredi","Samedi","Dimanche"))</f>
        <v/>
      </c>
      <c r="D216" s="28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5" t="str">
        <f aca="false">IF(B216="","",OR(AND(H216="Achat",I216="Haussier"),AND(H216="Vente",I216="Baissier"))*1+OR(AND(H216="Achat",J216="Discount"),AND(H216="Vente",J216="Premium"))*1+AND(K216&lt;&gt;"",K216&lt;&gt;"Aucune")*1+OR(L216="CHoCH",L216="BOS")*1+(M216="Oui")*1+OR(G216="Londres",G216="New York")*1+(O216="Non")*1)</f>
        <v/>
      </c>
      <c r="Q216" s="27" t="str">
        <f aca="false">IF(P216="","",IF(P216=7,"A+",IF(P216&gt;=5,"B","C")))</f>
        <v/>
      </c>
      <c r="R216" s="29"/>
      <c r="S216" s="29"/>
      <c r="T216" s="27" t="str">
        <f aca="false">IF(OR(R216="",S216=""),"",R216+(R216-S216)*Paramètres!$B$6)</f>
        <v/>
      </c>
      <c r="U216" s="29"/>
      <c r="V216" s="27" t="str">
        <f aca="false">IF(OR(R216="",S216=""),"",ABS(R216-S216))</f>
        <v/>
      </c>
      <c r="W216" s="30" t="str">
        <f aca="false">IF(OR(U216="",V216="",N(V216)=0),"",ABS(U216-R216)/V216)</f>
        <v/>
      </c>
      <c r="X216" s="31"/>
      <c r="Y216" s="29"/>
      <c r="Z216" s="32"/>
      <c r="AA216" s="33" t="str">
        <f aca="false">IF(Y216="","",IF(Y216="Stop",-1,IF(Y216="BE",0,IF(Y216="TP1 + BE",Paramètres!$B$7*Paramètres!$B$6,IF(Y216="TP1 (100 %)",Paramètres!$B$6,IF(Y216="TP2",Paramètres!$B$7*Paramètres!$B$6+(1-Paramètres!$B$7)*N(W216),IF(Y216="Sortie manuelle",N(Z216),"")))))))</f>
        <v/>
      </c>
      <c r="AB216" s="34" t="str">
        <f aca="false">IF(AA216="","",AA216*IF(X216="",Paramètres!$B$5,X216))</f>
        <v/>
      </c>
      <c r="AC216" s="35" t="str">
        <f aca="false">IF(AB216="","",Paramètres!$B$4*(1+SUM(AB$5:AB216)))</f>
        <v/>
      </c>
      <c r="AD216" s="29"/>
      <c r="AE216" s="29"/>
      <c r="AF216" s="29"/>
      <c r="AG216" s="36"/>
      <c r="AH216" s="36"/>
      <c r="AI216" s="33" t="str">
        <f aca="false">IF(AA216="","",SUM(AA$5:AA216))</f>
        <v/>
      </c>
      <c r="AJ216" s="33" t="str">
        <f aca="false">IF(AI216="","",MAX(AI216,MAX(AJ$5:AJ215),0))</f>
        <v/>
      </c>
      <c r="AK216" s="33" t="str">
        <f aca="false">IF(AI216="","",AI216-AJ216)</f>
        <v/>
      </c>
      <c r="AL216" s="25" t="str">
        <f aca="false">IF(AA216="","",IF(AA216&lt;0,N(AL215)+1,0))</f>
        <v/>
      </c>
      <c r="AM216" s="37" t="str">
        <f aca="false">IF(B216="","",B216-WEEKDAY(B216,2)+1)</f>
        <v/>
      </c>
    </row>
    <row r="217" customFormat="false" ht="15" hidden="false" customHeight="false" outlineLevel="0" collapsed="false">
      <c r="A217" s="25" t="str">
        <f aca="false">IF(B217="","",ROW()-4)</f>
        <v/>
      </c>
      <c r="B217" s="26"/>
      <c r="C217" s="27" t="str">
        <f aca="false">IF(B217="","",CHOOSE(WEEKDAY(B217,2),"Lundi","Mardi","Mercredi","Jeudi","Vendredi","Samedi","Dimanche"))</f>
        <v/>
      </c>
      <c r="D217" s="28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5" t="str">
        <f aca="false">IF(B217="","",OR(AND(H217="Achat",I217="Haussier"),AND(H217="Vente",I217="Baissier"))*1+OR(AND(H217="Achat",J217="Discount"),AND(H217="Vente",J217="Premium"))*1+AND(K217&lt;&gt;"",K217&lt;&gt;"Aucune")*1+OR(L217="CHoCH",L217="BOS")*1+(M217="Oui")*1+OR(G217="Londres",G217="New York")*1+(O217="Non")*1)</f>
        <v/>
      </c>
      <c r="Q217" s="27" t="str">
        <f aca="false">IF(P217="","",IF(P217=7,"A+",IF(P217&gt;=5,"B","C")))</f>
        <v/>
      </c>
      <c r="R217" s="29"/>
      <c r="S217" s="29"/>
      <c r="T217" s="27" t="str">
        <f aca="false">IF(OR(R217="",S217=""),"",R217+(R217-S217)*Paramètres!$B$6)</f>
        <v/>
      </c>
      <c r="U217" s="29"/>
      <c r="V217" s="27" t="str">
        <f aca="false">IF(OR(R217="",S217=""),"",ABS(R217-S217))</f>
        <v/>
      </c>
      <c r="W217" s="30" t="str">
        <f aca="false">IF(OR(U217="",V217="",N(V217)=0),"",ABS(U217-R217)/V217)</f>
        <v/>
      </c>
      <c r="X217" s="31"/>
      <c r="Y217" s="29"/>
      <c r="Z217" s="32"/>
      <c r="AA217" s="33" t="str">
        <f aca="false">IF(Y217="","",IF(Y217="Stop",-1,IF(Y217="BE",0,IF(Y217="TP1 + BE",Paramètres!$B$7*Paramètres!$B$6,IF(Y217="TP1 (100 %)",Paramètres!$B$6,IF(Y217="TP2",Paramètres!$B$7*Paramètres!$B$6+(1-Paramètres!$B$7)*N(W217),IF(Y217="Sortie manuelle",N(Z217),"")))))))</f>
        <v/>
      </c>
      <c r="AB217" s="34" t="str">
        <f aca="false">IF(AA217="","",AA217*IF(X217="",Paramètres!$B$5,X217))</f>
        <v/>
      </c>
      <c r="AC217" s="35" t="str">
        <f aca="false">IF(AB217="","",Paramètres!$B$4*(1+SUM(AB$5:AB217)))</f>
        <v/>
      </c>
      <c r="AD217" s="29"/>
      <c r="AE217" s="29"/>
      <c r="AF217" s="29"/>
      <c r="AG217" s="36"/>
      <c r="AH217" s="36"/>
      <c r="AI217" s="33" t="str">
        <f aca="false">IF(AA217="","",SUM(AA$5:AA217))</f>
        <v/>
      </c>
      <c r="AJ217" s="33" t="str">
        <f aca="false">IF(AI217="","",MAX(AI217,MAX(AJ$5:AJ216),0))</f>
        <v/>
      </c>
      <c r="AK217" s="33" t="str">
        <f aca="false">IF(AI217="","",AI217-AJ217)</f>
        <v/>
      </c>
      <c r="AL217" s="25" t="str">
        <f aca="false">IF(AA217="","",IF(AA217&lt;0,N(AL216)+1,0))</f>
        <v/>
      </c>
      <c r="AM217" s="37" t="str">
        <f aca="false">IF(B217="","",B217-WEEKDAY(B217,2)+1)</f>
        <v/>
      </c>
    </row>
    <row r="218" customFormat="false" ht="15" hidden="false" customHeight="false" outlineLevel="0" collapsed="false">
      <c r="A218" s="25" t="str">
        <f aca="false">IF(B218="","",ROW()-4)</f>
        <v/>
      </c>
      <c r="B218" s="26"/>
      <c r="C218" s="27" t="str">
        <f aca="false">IF(B218="","",CHOOSE(WEEKDAY(B218,2),"Lundi","Mardi","Mercredi","Jeudi","Vendredi","Samedi","Dimanche"))</f>
        <v/>
      </c>
      <c r="D218" s="28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5" t="str">
        <f aca="false">IF(B218="","",OR(AND(H218="Achat",I218="Haussier"),AND(H218="Vente",I218="Baissier"))*1+OR(AND(H218="Achat",J218="Discount"),AND(H218="Vente",J218="Premium"))*1+AND(K218&lt;&gt;"",K218&lt;&gt;"Aucune")*1+OR(L218="CHoCH",L218="BOS")*1+(M218="Oui")*1+OR(G218="Londres",G218="New York")*1+(O218="Non")*1)</f>
        <v/>
      </c>
      <c r="Q218" s="27" t="str">
        <f aca="false">IF(P218="","",IF(P218=7,"A+",IF(P218&gt;=5,"B","C")))</f>
        <v/>
      </c>
      <c r="R218" s="29"/>
      <c r="S218" s="29"/>
      <c r="T218" s="27" t="str">
        <f aca="false">IF(OR(R218="",S218=""),"",R218+(R218-S218)*Paramètres!$B$6)</f>
        <v/>
      </c>
      <c r="U218" s="29"/>
      <c r="V218" s="27" t="str">
        <f aca="false">IF(OR(R218="",S218=""),"",ABS(R218-S218))</f>
        <v/>
      </c>
      <c r="W218" s="30" t="str">
        <f aca="false">IF(OR(U218="",V218="",N(V218)=0),"",ABS(U218-R218)/V218)</f>
        <v/>
      </c>
      <c r="X218" s="31"/>
      <c r="Y218" s="29"/>
      <c r="Z218" s="32"/>
      <c r="AA218" s="33" t="str">
        <f aca="false">IF(Y218="","",IF(Y218="Stop",-1,IF(Y218="BE",0,IF(Y218="TP1 + BE",Paramètres!$B$7*Paramètres!$B$6,IF(Y218="TP1 (100 %)",Paramètres!$B$6,IF(Y218="TP2",Paramètres!$B$7*Paramètres!$B$6+(1-Paramètres!$B$7)*N(W218),IF(Y218="Sortie manuelle",N(Z218),"")))))))</f>
        <v/>
      </c>
      <c r="AB218" s="34" t="str">
        <f aca="false">IF(AA218="","",AA218*IF(X218="",Paramètres!$B$5,X218))</f>
        <v/>
      </c>
      <c r="AC218" s="35" t="str">
        <f aca="false">IF(AB218="","",Paramètres!$B$4*(1+SUM(AB$5:AB218)))</f>
        <v/>
      </c>
      <c r="AD218" s="29"/>
      <c r="AE218" s="29"/>
      <c r="AF218" s="29"/>
      <c r="AG218" s="36"/>
      <c r="AH218" s="36"/>
      <c r="AI218" s="33" t="str">
        <f aca="false">IF(AA218="","",SUM(AA$5:AA218))</f>
        <v/>
      </c>
      <c r="AJ218" s="33" t="str">
        <f aca="false">IF(AI218="","",MAX(AI218,MAX(AJ$5:AJ217),0))</f>
        <v/>
      </c>
      <c r="AK218" s="33" t="str">
        <f aca="false">IF(AI218="","",AI218-AJ218)</f>
        <v/>
      </c>
      <c r="AL218" s="25" t="str">
        <f aca="false">IF(AA218="","",IF(AA218&lt;0,N(AL217)+1,0))</f>
        <v/>
      </c>
      <c r="AM218" s="37" t="str">
        <f aca="false">IF(B218="","",B218-WEEKDAY(B218,2)+1)</f>
        <v/>
      </c>
    </row>
    <row r="219" customFormat="false" ht="15" hidden="false" customHeight="false" outlineLevel="0" collapsed="false">
      <c r="A219" s="25" t="str">
        <f aca="false">IF(B219="","",ROW()-4)</f>
        <v/>
      </c>
      <c r="B219" s="26"/>
      <c r="C219" s="27" t="str">
        <f aca="false">IF(B219="","",CHOOSE(WEEKDAY(B219,2),"Lundi","Mardi","Mercredi","Jeudi","Vendredi","Samedi","Dimanche"))</f>
        <v/>
      </c>
      <c r="D219" s="28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5" t="str">
        <f aca="false">IF(B219="","",OR(AND(H219="Achat",I219="Haussier"),AND(H219="Vente",I219="Baissier"))*1+OR(AND(H219="Achat",J219="Discount"),AND(H219="Vente",J219="Premium"))*1+AND(K219&lt;&gt;"",K219&lt;&gt;"Aucune")*1+OR(L219="CHoCH",L219="BOS")*1+(M219="Oui")*1+OR(G219="Londres",G219="New York")*1+(O219="Non")*1)</f>
        <v/>
      </c>
      <c r="Q219" s="27" t="str">
        <f aca="false">IF(P219="","",IF(P219=7,"A+",IF(P219&gt;=5,"B","C")))</f>
        <v/>
      </c>
      <c r="R219" s="29"/>
      <c r="S219" s="29"/>
      <c r="T219" s="27" t="str">
        <f aca="false">IF(OR(R219="",S219=""),"",R219+(R219-S219)*Paramètres!$B$6)</f>
        <v/>
      </c>
      <c r="U219" s="29"/>
      <c r="V219" s="27" t="str">
        <f aca="false">IF(OR(R219="",S219=""),"",ABS(R219-S219))</f>
        <v/>
      </c>
      <c r="W219" s="30" t="str">
        <f aca="false">IF(OR(U219="",V219="",N(V219)=0),"",ABS(U219-R219)/V219)</f>
        <v/>
      </c>
      <c r="X219" s="31"/>
      <c r="Y219" s="29"/>
      <c r="Z219" s="32"/>
      <c r="AA219" s="33" t="str">
        <f aca="false">IF(Y219="","",IF(Y219="Stop",-1,IF(Y219="BE",0,IF(Y219="TP1 + BE",Paramètres!$B$7*Paramètres!$B$6,IF(Y219="TP1 (100 %)",Paramètres!$B$6,IF(Y219="TP2",Paramètres!$B$7*Paramètres!$B$6+(1-Paramètres!$B$7)*N(W219),IF(Y219="Sortie manuelle",N(Z219),"")))))))</f>
        <v/>
      </c>
      <c r="AB219" s="34" t="str">
        <f aca="false">IF(AA219="","",AA219*IF(X219="",Paramètres!$B$5,X219))</f>
        <v/>
      </c>
      <c r="AC219" s="35" t="str">
        <f aca="false">IF(AB219="","",Paramètres!$B$4*(1+SUM(AB$5:AB219)))</f>
        <v/>
      </c>
      <c r="AD219" s="29"/>
      <c r="AE219" s="29"/>
      <c r="AF219" s="29"/>
      <c r="AG219" s="36"/>
      <c r="AH219" s="36"/>
      <c r="AI219" s="33" t="str">
        <f aca="false">IF(AA219="","",SUM(AA$5:AA219))</f>
        <v/>
      </c>
      <c r="AJ219" s="33" t="str">
        <f aca="false">IF(AI219="","",MAX(AI219,MAX(AJ$5:AJ218),0))</f>
        <v/>
      </c>
      <c r="AK219" s="33" t="str">
        <f aca="false">IF(AI219="","",AI219-AJ219)</f>
        <v/>
      </c>
      <c r="AL219" s="25" t="str">
        <f aca="false">IF(AA219="","",IF(AA219&lt;0,N(AL218)+1,0))</f>
        <v/>
      </c>
      <c r="AM219" s="37" t="str">
        <f aca="false">IF(B219="","",B219-WEEKDAY(B219,2)+1)</f>
        <v/>
      </c>
    </row>
    <row r="220" customFormat="false" ht="15" hidden="false" customHeight="false" outlineLevel="0" collapsed="false">
      <c r="A220" s="25" t="str">
        <f aca="false">IF(B220="","",ROW()-4)</f>
        <v/>
      </c>
      <c r="B220" s="26"/>
      <c r="C220" s="27" t="str">
        <f aca="false">IF(B220="","",CHOOSE(WEEKDAY(B220,2),"Lundi","Mardi","Mercredi","Jeudi","Vendredi","Samedi","Dimanche"))</f>
        <v/>
      </c>
      <c r="D220" s="28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5" t="str">
        <f aca="false">IF(B220="","",OR(AND(H220="Achat",I220="Haussier"),AND(H220="Vente",I220="Baissier"))*1+OR(AND(H220="Achat",J220="Discount"),AND(H220="Vente",J220="Premium"))*1+AND(K220&lt;&gt;"",K220&lt;&gt;"Aucune")*1+OR(L220="CHoCH",L220="BOS")*1+(M220="Oui")*1+OR(G220="Londres",G220="New York")*1+(O220="Non")*1)</f>
        <v/>
      </c>
      <c r="Q220" s="27" t="str">
        <f aca="false">IF(P220="","",IF(P220=7,"A+",IF(P220&gt;=5,"B","C")))</f>
        <v/>
      </c>
      <c r="R220" s="29"/>
      <c r="S220" s="29"/>
      <c r="T220" s="27" t="str">
        <f aca="false">IF(OR(R220="",S220=""),"",R220+(R220-S220)*Paramètres!$B$6)</f>
        <v/>
      </c>
      <c r="U220" s="29"/>
      <c r="V220" s="27" t="str">
        <f aca="false">IF(OR(R220="",S220=""),"",ABS(R220-S220))</f>
        <v/>
      </c>
      <c r="W220" s="30" t="str">
        <f aca="false">IF(OR(U220="",V220="",N(V220)=0),"",ABS(U220-R220)/V220)</f>
        <v/>
      </c>
      <c r="X220" s="31"/>
      <c r="Y220" s="29"/>
      <c r="Z220" s="32"/>
      <c r="AA220" s="33" t="str">
        <f aca="false">IF(Y220="","",IF(Y220="Stop",-1,IF(Y220="BE",0,IF(Y220="TP1 + BE",Paramètres!$B$7*Paramètres!$B$6,IF(Y220="TP1 (100 %)",Paramètres!$B$6,IF(Y220="TP2",Paramètres!$B$7*Paramètres!$B$6+(1-Paramètres!$B$7)*N(W220),IF(Y220="Sortie manuelle",N(Z220),"")))))))</f>
        <v/>
      </c>
      <c r="AB220" s="34" t="str">
        <f aca="false">IF(AA220="","",AA220*IF(X220="",Paramètres!$B$5,X220))</f>
        <v/>
      </c>
      <c r="AC220" s="35" t="str">
        <f aca="false">IF(AB220="","",Paramètres!$B$4*(1+SUM(AB$5:AB220)))</f>
        <v/>
      </c>
      <c r="AD220" s="29"/>
      <c r="AE220" s="29"/>
      <c r="AF220" s="29"/>
      <c r="AG220" s="36"/>
      <c r="AH220" s="36"/>
      <c r="AI220" s="33" t="str">
        <f aca="false">IF(AA220="","",SUM(AA$5:AA220))</f>
        <v/>
      </c>
      <c r="AJ220" s="33" t="str">
        <f aca="false">IF(AI220="","",MAX(AI220,MAX(AJ$5:AJ219),0))</f>
        <v/>
      </c>
      <c r="AK220" s="33" t="str">
        <f aca="false">IF(AI220="","",AI220-AJ220)</f>
        <v/>
      </c>
      <c r="AL220" s="25" t="str">
        <f aca="false">IF(AA220="","",IF(AA220&lt;0,N(AL219)+1,0))</f>
        <v/>
      </c>
      <c r="AM220" s="37" t="str">
        <f aca="false">IF(B220="","",B220-WEEKDAY(B220,2)+1)</f>
        <v/>
      </c>
    </row>
    <row r="221" customFormat="false" ht="15" hidden="false" customHeight="false" outlineLevel="0" collapsed="false">
      <c r="A221" s="25" t="str">
        <f aca="false">IF(B221="","",ROW()-4)</f>
        <v/>
      </c>
      <c r="B221" s="26"/>
      <c r="C221" s="27" t="str">
        <f aca="false">IF(B221="","",CHOOSE(WEEKDAY(B221,2),"Lundi","Mardi","Mercredi","Jeudi","Vendredi","Samedi","Dimanche"))</f>
        <v/>
      </c>
      <c r="D221" s="28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5" t="str">
        <f aca="false">IF(B221="","",OR(AND(H221="Achat",I221="Haussier"),AND(H221="Vente",I221="Baissier"))*1+OR(AND(H221="Achat",J221="Discount"),AND(H221="Vente",J221="Premium"))*1+AND(K221&lt;&gt;"",K221&lt;&gt;"Aucune")*1+OR(L221="CHoCH",L221="BOS")*1+(M221="Oui")*1+OR(G221="Londres",G221="New York")*1+(O221="Non")*1)</f>
        <v/>
      </c>
      <c r="Q221" s="27" t="str">
        <f aca="false">IF(P221="","",IF(P221=7,"A+",IF(P221&gt;=5,"B","C")))</f>
        <v/>
      </c>
      <c r="R221" s="29"/>
      <c r="S221" s="29"/>
      <c r="T221" s="27" t="str">
        <f aca="false">IF(OR(R221="",S221=""),"",R221+(R221-S221)*Paramètres!$B$6)</f>
        <v/>
      </c>
      <c r="U221" s="29"/>
      <c r="V221" s="27" t="str">
        <f aca="false">IF(OR(R221="",S221=""),"",ABS(R221-S221))</f>
        <v/>
      </c>
      <c r="W221" s="30" t="str">
        <f aca="false">IF(OR(U221="",V221="",N(V221)=0),"",ABS(U221-R221)/V221)</f>
        <v/>
      </c>
      <c r="X221" s="31"/>
      <c r="Y221" s="29"/>
      <c r="Z221" s="32"/>
      <c r="AA221" s="33" t="str">
        <f aca="false">IF(Y221="","",IF(Y221="Stop",-1,IF(Y221="BE",0,IF(Y221="TP1 + BE",Paramètres!$B$7*Paramètres!$B$6,IF(Y221="TP1 (100 %)",Paramètres!$B$6,IF(Y221="TP2",Paramètres!$B$7*Paramètres!$B$6+(1-Paramètres!$B$7)*N(W221),IF(Y221="Sortie manuelle",N(Z221),"")))))))</f>
        <v/>
      </c>
      <c r="AB221" s="34" t="str">
        <f aca="false">IF(AA221="","",AA221*IF(X221="",Paramètres!$B$5,X221))</f>
        <v/>
      </c>
      <c r="AC221" s="35" t="str">
        <f aca="false">IF(AB221="","",Paramètres!$B$4*(1+SUM(AB$5:AB221)))</f>
        <v/>
      </c>
      <c r="AD221" s="29"/>
      <c r="AE221" s="29"/>
      <c r="AF221" s="29"/>
      <c r="AG221" s="36"/>
      <c r="AH221" s="36"/>
      <c r="AI221" s="33" t="str">
        <f aca="false">IF(AA221="","",SUM(AA$5:AA221))</f>
        <v/>
      </c>
      <c r="AJ221" s="33" t="str">
        <f aca="false">IF(AI221="","",MAX(AI221,MAX(AJ$5:AJ220),0))</f>
        <v/>
      </c>
      <c r="AK221" s="33" t="str">
        <f aca="false">IF(AI221="","",AI221-AJ221)</f>
        <v/>
      </c>
      <c r="AL221" s="25" t="str">
        <f aca="false">IF(AA221="","",IF(AA221&lt;0,N(AL220)+1,0))</f>
        <v/>
      </c>
      <c r="AM221" s="37" t="str">
        <f aca="false">IF(B221="","",B221-WEEKDAY(B221,2)+1)</f>
        <v/>
      </c>
    </row>
    <row r="222" customFormat="false" ht="15" hidden="false" customHeight="false" outlineLevel="0" collapsed="false">
      <c r="A222" s="25" t="str">
        <f aca="false">IF(B222="","",ROW()-4)</f>
        <v/>
      </c>
      <c r="B222" s="26"/>
      <c r="C222" s="27" t="str">
        <f aca="false">IF(B222="","",CHOOSE(WEEKDAY(B222,2),"Lundi","Mardi","Mercredi","Jeudi","Vendredi","Samedi","Dimanche"))</f>
        <v/>
      </c>
      <c r="D222" s="28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5" t="str">
        <f aca="false">IF(B222="","",OR(AND(H222="Achat",I222="Haussier"),AND(H222="Vente",I222="Baissier"))*1+OR(AND(H222="Achat",J222="Discount"),AND(H222="Vente",J222="Premium"))*1+AND(K222&lt;&gt;"",K222&lt;&gt;"Aucune")*1+OR(L222="CHoCH",L222="BOS")*1+(M222="Oui")*1+OR(G222="Londres",G222="New York")*1+(O222="Non")*1)</f>
        <v/>
      </c>
      <c r="Q222" s="27" t="str">
        <f aca="false">IF(P222="","",IF(P222=7,"A+",IF(P222&gt;=5,"B","C")))</f>
        <v/>
      </c>
      <c r="R222" s="29"/>
      <c r="S222" s="29"/>
      <c r="T222" s="27" t="str">
        <f aca="false">IF(OR(R222="",S222=""),"",R222+(R222-S222)*Paramètres!$B$6)</f>
        <v/>
      </c>
      <c r="U222" s="29"/>
      <c r="V222" s="27" t="str">
        <f aca="false">IF(OR(R222="",S222=""),"",ABS(R222-S222))</f>
        <v/>
      </c>
      <c r="W222" s="30" t="str">
        <f aca="false">IF(OR(U222="",V222="",N(V222)=0),"",ABS(U222-R222)/V222)</f>
        <v/>
      </c>
      <c r="X222" s="31"/>
      <c r="Y222" s="29"/>
      <c r="Z222" s="32"/>
      <c r="AA222" s="33" t="str">
        <f aca="false">IF(Y222="","",IF(Y222="Stop",-1,IF(Y222="BE",0,IF(Y222="TP1 + BE",Paramètres!$B$7*Paramètres!$B$6,IF(Y222="TP1 (100 %)",Paramètres!$B$6,IF(Y222="TP2",Paramètres!$B$7*Paramètres!$B$6+(1-Paramètres!$B$7)*N(W222),IF(Y222="Sortie manuelle",N(Z222),"")))))))</f>
        <v/>
      </c>
      <c r="AB222" s="34" t="str">
        <f aca="false">IF(AA222="","",AA222*IF(X222="",Paramètres!$B$5,X222))</f>
        <v/>
      </c>
      <c r="AC222" s="35" t="str">
        <f aca="false">IF(AB222="","",Paramètres!$B$4*(1+SUM(AB$5:AB222)))</f>
        <v/>
      </c>
      <c r="AD222" s="29"/>
      <c r="AE222" s="29"/>
      <c r="AF222" s="29"/>
      <c r="AG222" s="36"/>
      <c r="AH222" s="36"/>
      <c r="AI222" s="33" t="str">
        <f aca="false">IF(AA222="","",SUM(AA$5:AA222))</f>
        <v/>
      </c>
      <c r="AJ222" s="33" t="str">
        <f aca="false">IF(AI222="","",MAX(AI222,MAX(AJ$5:AJ221),0))</f>
        <v/>
      </c>
      <c r="AK222" s="33" t="str">
        <f aca="false">IF(AI222="","",AI222-AJ222)</f>
        <v/>
      </c>
      <c r="AL222" s="25" t="str">
        <f aca="false">IF(AA222="","",IF(AA222&lt;0,N(AL221)+1,0))</f>
        <v/>
      </c>
      <c r="AM222" s="37" t="str">
        <f aca="false">IF(B222="","",B222-WEEKDAY(B222,2)+1)</f>
        <v/>
      </c>
    </row>
    <row r="223" customFormat="false" ht="15" hidden="false" customHeight="false" outlineLevel="0" collapsed="false">
      <c r="A223" s="25" t="str">
        <f aca="false">IF(B223="","",ROW()-4)</f>
        <v/>
      </c>
      <c r="B223" s="26"/>
      <c r="C223" s="27" t="str">
        <f aca="false">IF(B223="","",CHOOSE(WEEKDAY(B223,2),"Lundi","Mardi","Mercredi","Jeudi","Vendredi","Samedi","Dimanche"))</f>
        <v/>
      </c>
      <c r="D223" s="28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5" t="str">
        <f aca="false">IF(B223="","",OR(AND(H223="Achat",I223="Haussier"),AND(H223="Vente",I223="Baissier"))*1+OR(AND(H223="Achat",J223="Discount"),AND(H223="Vente",J223="Premium"))*1+AND(K223&lt;&gt;"",K223&lt;&gt;"Aucune")*1+OR(L223="CHoCH",L223="BOS")*1+(M223="Oui")*1+OR(G223="Londres",G223="New York")*1+(O223="Non")*1)</f>
        <v/>
      </c>
      <c r="Q223" s="27" t="str">
        <f aca="false">IF(P223="","",IF(P223=7,"A+",IF(P223&gt;=5,"B","C")))</f>
        <v/>
      </c>
      <c r="R223" s="29"/>
      <c r="S223" s="29"/>
      <c r="T223" s="27" t="str">
        <f aca="false">IF(OR(R223="",S223=""),"",R223+(R223-S223)*Paramètres!$B$6)</f>
        <v/>
      </c>
      <c r="U223" s="29"/>
      <c r="V223" s="27" t="str">
        <f aca="false">IF(OR(R223="",S223=""),"",ABS(R223-S223))</f>
        <v/>
      </c>
      <c r="W223" s="30" t="str">
        <f aca="false">IF(OR(U223="",V223="",N(V223)=0),"",ABS(U223-R223)/V223)</f>
        <v/>
      </c>
      <c r="X223" s="31"/>
      <c r="Y223" s="29"/>
      <c r="Z223" s="32"/>
      <c r="AA223" s="33" t="str">
        <f aca="false">IF(Y223="","",IF(Y223="Stop",-1,IF(Y223="BE",0,IF(Y223="TP1 + BE",Paramètres!$B$7*Paramètres!$B$6,IF(Y223="TP1 (100 %)",Paramètres!$B$6,IF(Y223="TP2",Paramètres!$B$7*Paramètres!$B$6+(1-Paramètres!$B$7)*N(W223),IF(Y223="Sortie manuelle",N(Z223),"")))))))</f>
        <v/>
      </c>
      <c r="AB223" s="34" t="str">
        <f aca="false">IF(AA223="","",AA223*IF(X223="",Paramètres!$B$5,X223))</f>
        <v/>
      </c>
      <c r="AC223" s="35" t="str">
        <f aca="false">IF(AB223="","",Paramètres!$B$4*(1+SUM(AB$5:AB223)))</f>
        <v/>
      </c>
      <c r="AD223" s="29"/>
      <c r="AE223" s="29"/>
      <c r="AF223" s="29"/>
      <c r="AG223" s="36"/>
      <c r="AH223" s="36"/>
      <c r="AI223" s="33" t="str">
        <f aca="false">IF(AA223="","",SUM(AA$5:AA223))</f>
        <v/>
      </c>
      <c r="AJ223" s="33" t="str">
        <f aca="false">IF(AI223="","",MAX(AI223,MAX(AJ$5:AJ222),0))</f>
        <v/>
      </c>
      <c r="AK223" s="33" t="str">
        <f aca="false">IF(AI223="","",AI223-AJ223)</f>
        <v/>
      </c>
      <c r="AL223" s="25" t="str">
        <f aca="false">IF(AA223="","",IF(AA223&lt;0,N(AL222)+1,0))</f>
        <v/>
      </c>
      <c r="AM223" s="37" t="str">
        <f aca="false">IF(B223="","",B223-WEEKDAY(B223,2)+1)</f>
        <v/>
      </c>
    </row>
    <row r="224" customFormat="false" ht="15" hidden="false" customHeight="false" outlineLevel="0" collapsed="false">
      <c r="A224" s="25" t="str">
        <f aca="false">IF(B224="","",ROW()-4)</f>
        <v/>
      </c>
      <c r="B224" s="26"/>
      <c r="C224" s="27" t="str">
        <f aca="false">IF(B224="","",CHOOSE(WEEKDAY(B224,2),"Lundi","Mardi","Mercredi","Jeudi","Vendredi","Samedi","Dimanche"))</f>
        <v/>
      </c>
      <c r="D224" s="28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5" t="str">
        <f aca="false">IF(B224="","",OR(AND(H224="Achat",I224="Haussier"),AND(H224="Vente",I224="Baissier"))*1+OR(AND(H224="Achat",J224="Discount"),AND(H224="Vente",J224="Premium"))*1+AND(K224&lt;&gt;"",K224&lt;&gt;"Aucune")*1+OR(L224="CHoCH",L224="BOS")*1+(M224="Oui")*1+OR(G224="Londres",G224="New York")*1+(O224="Non")*1)</f>
        <v/>
      </c>
      <c r="Q224" s="27" t="str">
        <f aca="false">IF(P224="","",IF(P224=7,"A+",IF(P224&gt;=5,"B","C")))</f>
        <v/>
      </c>
      <c r="R224" s="29"/>
      <c r="S224" s="29"/>
      <c r="T224" s="27" t="str">
        <f aca="false">IF(OR(R224="",S224=""),"",R224+(R224-S224)*Paramètres!$B$6)</f>
        <v/>
      </c>
      <c r="U224" s="29"/>
      <c r="V224" s="27" t="str">
        <f aca="false">IF(OR(R224="",S224=""),"",ABS(R224-S224))</f>
        <v/>
      </c>
      <c r="W224" s="30" t="str">
        <f aca="false">IF(OR(U224="",V224="",N(V224)=0),"",ABS(U224-R224)/V224)</f>
        <v/>
      </c>
      <c r="X224" s="31"/>
      <c r="Y224" s="29"/>
      <c r="Z224" s="32"/>
      <c r="AA224" s="33" t="str">
        <f aca="false">IF(Y224="","",IF(Y224="Stop",-1,IF(Y224="BE",0,IF(Y224="TP1 + BE",Paramètres!$B$7*Paramètres!$B$6,IF(Y224="TP1 (100 %)",Paramètres!$B$6,IF(Y224="TP2",Paramètres!$B$7*Paramètres!$B$6+(1-Paramètres!$B$7)*N(W224),IF(Y224="Sortie manuelle",N(Z224),"")))))))</f>
        <v/>
      </c>
      <c r="AB224" s="34" t="str">
        <f aca="false">IF(AA224="","",AA224*IF(X224="",Paramètres!$B$5,X224))</f>
        <v/>
      </c>
      <c r="AC224" s="35" t="str">
        <f aca="false">IF(AB224="","",Paramètres!$B$4*(1+SUM(AB$5:AB224)))</f>
        <v/>
      </c>
      <c r="AD224" s="29"/>
      <c r="AE224" s="29"/>
      <c r="AF224" s="29"/>
      <c r="AG224" s="36"/>
      <c r="AH224" s="36"/>
      <c r="AI224" s="33" t="str">
        <f aca="false">IF(AA224="","",SUM(AA$5:AA224))</f>
        <v/>
      </c>
      <c r="AJ224" s="33" t="str">
        <f aca="false">IF(AI224="","",MAX(AI224,MAX(AJ$5:AJ223),0))</f>
        <v/>
      </c>
      <c r="AK224" s="33" t="str">
        <f aca="false">IF(AI224="","",AI224-AJ224)</f>
        <v/>
      </c>
      <c r="AL224" s="25" t="str">
        <f aca="false">IF(AA224="","",IF(AA224&lt;0,N(AL223)+1,0))</f>
        <v/>
      </c>
      <c r="AM224" s="37" t="str">
        <f aca="false">IF(B224="","",B224-WEEKDAY(B224,2)+1)</f>
        <v/>
      </c>
    </row>
    <row r="225" customFormat="false" ht="15" hidden="false" customHeight="false" outlineLevel="0" collapsed="false">
      <c r="A225" s="25" t="str">
        <f aca="false">IF(B225="","",ROW()-4)</f>
        <v/>
      </c>
      <c r="B225" s="26"/>
      <c r="C225" s="27" t="str">
        <f aca="false">IF(B225="","",CHOOSE(WEEKDAY(B225,2),"Lundi","Mardi","Mercredi","Jeudi","Vendredi","Samedi","Dimanche"))</f>
        <v/>
      </c>
      <c r="D225" s="28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5" t="str">
        <f aca="false">IF(B225="","",OR(AND(H225="Achat",I225="Haussier"),AND(H225="Vente",I225="Baissier"))*1+OR(AND(H225="Achat",J225="Discount"),AND(H225="Vente",J225="Premium"))*1+AND(K225&lt;&gt;"",K225&lt;&gt;"Aucune")*1+OR(L225="CHoCH",L225="BOS")*1+(M225="Oui")*1+OR(G225="Londres",G225="New York")*1+(O225="Non")*1)</f>
        <v/>
      </c>
      <c r="Q225" s="27" t="str">
        <f aca="false">IF(P225="","",IF(P225=7,"A+",IF(P225&gt;=5,"B","C")))</f>
        <v/>
      </c>
      <c r="R225" s="29"/>
      <c r="S225" s="29"/>
      <c r="T225" s="27" t="str">
        <f aca="false">IF(OR(R225="",S225=""),"",R225+(R225-S225)*Paramètres!$B$6)</f>
        <v/>
      </c>
      <c r="U225" s="29"/>
      <c r="V225" s="27" t="str">
        <f aca="false">IF(OR(R225="",S225=""),"",ABS(R225-S225))</f>
        <v/>
      </c>
      <c r="W225" s="30" t="str">
        <f aca="false">IF(OR(U225="",V225="",N(V225)=0),"",ABS(U225-R225)/V225)</f>
        <v/>
      </c>
      <c r="X225" s="31"/>
      <c r="Y225" s="29"/>
      <c r="Z225" s="32"/>
      <c r="AA225" s="33" t="str">
        <f aca="false">IF(Y225="","",IF(Y225="Stop",-1,IF(Y225="BE",0,IF(Y225="TP1 + BE",Paramètres!$B$7*Paramètres!$B$6,IF(Y225="TP1 (100 %)",Paramètres!$B$6,IF(Y225="TP2",Paramètres!$B$7*Paramètres!$B$6+(1-Paramètres!$B$7)*N(W225),IF(Y225="Sortie manuelle",N(Z225),"")))))))</f>
        <v/>
      </c>
      <c r="AB225" s="34" t="str">
        <f aca="false">IF(AA225="","",AA225*IF(X225="",Paramètres!$B$5,X225))</f>
        <v/>
      </c>
      <c r="AC225" s="35" t="str">
        <f aca="false">IF(AB225="","",Paramètres!$B$4*(1+SUM(AB$5:AB225)))</f>
        <v/>
      </c>
      <c r="AD225" s="29"/>
      <c r="AE225" s="29"/>
      <c r="AF225" s="29"/>
      <c r="AG225" s="36"/>
      <c r="AH225" s="36"/>
      <c r="AI225" s="33" t="str">
        <f aca="false">IF(AA225="","",SUM(AA$5:AA225))</f>
        <v/>
      </c>
      <c r="AJ225" s="33" t="str">
        <f aca="false">IF(AI225="","",MAX(AI225,MAX(AJ$5:AJ224),0))</f>
        <v/>
      </c>
      <c r="AK225" s="33" t="str">
        <f aca="false">IF(AI225="","",AI225-AJ225)</f>
        <v/>
      </c>
      <c r="AL225" s="25" t="str">
        <f aca="false">IF(AA225="","",IF(AA225&lt;0,N(AL224)+1,0))</f>
        <v/>
      </c>
      <c r="AM225" s="37" t="str">
        <f aca="false">IF(B225="","",B225-WEEKDAY(B225,2)+1)</f>
        <v/>
      </c>
    </row>
    <row r="226" customFormat="false" ht="15" hidden="false" customHeight="false" outlineLevel="0" collapsed="false">
      <c r="A226" s="25" t="str">
        <f aca="false">IF(B226="","",ROW()-4)</f>
        <v/>
      </c>
      <c r="B226" s="26"/>
      <c r="C226" s="27" t="str">
        <f aca="false">IF(B226="","",CHOOSE(WEEKDAY(B226,2),"Lundi","Mardi","Mercredi","Jeudi","Vendredi","Samedi","Dimanche"))</f>
        <v/>
      </c>
      <c r="D226" s="28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5" t="str">
        <f aca="false">IF(B226="","",OR(AND(H226="Achat",I226="Haussier"),AND(H226="Vente",I226="Baissier"))*1+OR(AND(H226="Achat",J226="Discount"),AND(H226="Vente",J226="Premium"))*1+AND(K226&lt;&gt;"",K226&lt;&gt;"Aucune")*1+OR(L226="CHoCH",L226="BOS")*1+(M226="Oui")*1+OR(G226="Londres",G226="New York")*1+(O226="Non")*1)</f>
        <v/>
      </c>
      <c r="Q226" s="27" t="str">
        <f aca="false">IF(P226="","",IF(P226=7,"A+",IF(P226&gt;=5,"B","C")))</f>
        <v/>
      </c>
      <c r="R226" s="29"/>
      <c r="S226" s="29"/>
      <c r="T226" s="27" t="str">
        <f aca="false">IF(OR(R226="",S226=""),"",R226+(R226-S226)*Paramètres!$B$6)</f>
        <v/>
      </c>
      <c r="U226" s="29"/>
      <c r="V226" s="27" t="str">
        <f aca="false">IF(OR(R226="",S226=""),"",ABS(R226-S226))</f>
        <v/>
      </c>
      <c r="W226" s="30" t="str">
        <f aca="false">IF(OR(U226="",V226="",N(V226)=0),"",ABS(U226-R226)/V226)</f>
        <v/>
      </c>
      <c r="X226" s="31"/>
      <c r="Y226" s="29"/>
      <c r="Z226" s="32"/>
      <c r="AA226" s="33" t="str">
        <f aca="false">IF(Y226="","",IF(Y226="Stop",-1,IF(Y226="BE",0,IF(Y226="TP1 + BE",Paramètres!$B$7*Paramètres!$B$6,IF(Y226="TP1 (100 %)",Paramètres!$B$6,IF(Y226="TP2",Paramètres!$B$7*Paramètres!$B$6+(1-Paramètres!$B$7)*N(W226),IF(Y226="Sortie manuelle",N(Z226),"")))))))</f>
        <v/>
      </c>
      <c r="AB226" s="34" t="str">
        <f aca="false">IF(AA226="","",AA226*IF(X226="",Paramètres!$B$5,X226))</f>
        <v/>
      </c>
      <c r="AC226" s="35" t="str">
        <f aca="false">IF(AB226="","",Paramètres!$B$4*(1+SUM(AB$5:AB226)))</f>
        <v/>
      </c>
      <c r="AD226" s="29"/>
      <c r="AE226" s="29"/>
      <c r="AF226" s="29"/>
      <c r="AG226" s="36"/>
      <c r="AH226" s="36"/>
      <c r="AI226" s="33" t="str">
        <f aca="false">IF(AA226="","",SUM(AA$5:AA226))</f>
        <v/>
      </c>
      <c r="AJ226" s="33" t="str">
        <f aca="false">IF(AI226="","",MAX(AI226,MAX(AJ$5:AJ225),0))</f>
        <v/>
      </c>
      <c r="AK226" s="33" t="str">
        <f aca="false">IF(AI226="","",AI226-AJ226)</f>
        <v/>
      </c>
      <c r="AL226" s="25" t="str">
        <f aca="false">IF(AA226="","",IF(AA226&lt;0,N(AL225)+1,0))</f>
        <v/>
      </c>
      <c r="AM226" s="37" t="str">
        <f aca="false">IF(B226="","",B226-WEEKDAY(B226,2)+1)</f>
        <v/>
      </c>
    </row>
    <row r="227" customFormat="false" ht="15" hidden="false" customHeight="false" outlineLevel="0" collapsed="false">
      <c r="A227" s="25" t="str">
        <f aca="false">IF(B227="","",ROW()-4)</f>
        <v/>
      </c>
      <c r="B227" s="26"/>
      <c r="C227" s="27" t="str">
        <f aca="false">IF(B227="","",CHOOSE(WEEKDAY(B227,2),"Lundi","Mardi","Mercredi","Jeudi","Vendredi","Samedi","Dimanche"))</f>
        <v/>
      </c>
      <c r="D227" s="28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5" t="str">
        <f aca="false">IF(B227="","",OR(AND(H227="Achat",I227="Haussier"),AND(H227="Vente",I227="Baissier"))*1+OR(AND(H227="Achat",J227="Discount"),AND(H227="Vente",J227="Premium"))*1+AND(K227&lt;&gt;"",K227&lt;&gt;"Aucune")*1+OR(L227="CHoCH",L227="BOS")*1+(M227="Oui")*1+OR(G227="Londres",G227="New York")*1+(O227="Non")*1)</f>
        <v/>
      </c>
      <c r="Q227" s="27" t="str">
        <f aca="false">IF(P227="","",IF(P227=7,"A+",IF(P227&gt;=5,"B","C")))</f>
        <v/>
      </c>
      <c r="R227" s="29"/>
      <c r="S227" s="29"/>
      <c r="T227" s="27" t="str">
        <f aca="false">IF(OR(R227="",S227=""),"",R227+(R227-S227)*Paramètres!$B$6)</f>
        <v/>
      </c>
      <c r="U227" s="29"/>
      <c r="V227" s="27" t="str">
        <f aca="false">IF(OR(R227="",S227=""),"",ABS(R227-S227))</f>
        <v/>
      </c>
      <c r="W227" s="30" t="str">
        <f aca="false">IF(OR(U227="",V227="",N(V227)=0),"",ABS(U227-R227)/V227)</f>
        <v/>
      </c>
      <c r="X227" s="31"/>
      <c r="Y227" s="29"/>
      <c r="Z227" s="32"/>
      <c r="AA227" s="33" t="str">
        <f aca="false">IF(Y227="","",IF(Y227="Stop",-1,IF(Y227="BE",0,IF(Y227="TP1 + BE",Paramètres!$B$7*Paramètres!$B$6,IF(Y227="TP1 (100 %)",Paramètres!$B$6,IF(Y227="TP2",Paramètres!$B$7*Paramètres!$B$6+(1-Paramètres!$B$7)*N(W227),IF(Y227="Sortie manuelle",N(Z227),"")))))))</f>
        <v/>
      </c>
      <c r="AB227" s="34" t="str">
        <f aca="false">IF(AA227="","",AA227*IF(X227="",Paramètres!$B$5,X227))</f>
        <v/>
      </c>
      <c r="AC227" s="35" t="str">
        <f aca="false">IF(AB227="","",Paramètres!$B$4*(1+SUM(AB$5:AB227)))</f>
        <v/>
      </c>
      <c r="AD227" s="29"/>
      <c r="AE227" s="29"/>
      <c r="AF227" s="29"/>
      <c r="AG227" s="36"/>
      <c r="AH227" s="36"/>
      <c r="AI227" s="33" t="str">
        <f aca="false">IF(AA227="","",SUM(AA$5:AA227))</f>
        <v/>
      </c>
      <c r="AJ227" s="33" t="str">
        <f aca="false">IF(AI227="","",MAX(AI227,MAX(AJ$5:AJ226),0))</f>
        <v/>
      </c>
      <c r="AK227" s="33" t="str">
        <f aca="false">IF(AI227="","",AI227-AJ227)</f>
        <v/>
      </c>
      <c r="AL227" s="25" t="str">
        <f aca="false">IF(AA227="","",IF(AA227&lt;0,N(AL226)+1,0))</f>
        <v/>
      </c>
      <c r="AM227" s="37" t="str">
        <f aca="false">IF(B227="","",B227-WEEKDAY(B227,2)+1)</f>
        <v/>
      </c>
    </row>
    <row r="228" customFormat="false" ht="15" hidden="false" customHeight="false" outlineLevel="0" collapsed="false">
      <c r="A228" s="25" t="str">
        <f aca="false">IF(B228="","",ROW()-4)</f>
        <v/>
      </c>
      <c r="B228" s="26"/>
      <c r="C228" s="27" t="str">
        <f aca="false">IF(B228="","",CHOOSE(WEEKDAY(B228,2),"Lundi","Mardi","Mercredi","Jeudi","Vendredi","Samedi","Dimanche"))</f>
        <v/>
      </c>
      <c r="D228" s="28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5" t="str">
        <f aca="false">IF(B228="","",OR(AND(H228="Achat",I228="Haussier"),AND(H228="Vente",I228="Baissier"))*1+OR(AND(H228="Achat",J228="Discount"),AND(H228="Vente",J228="Premium"))*1+AND(K228&lt;&gt;"",K228&lt;&gt;"Aucune")*1+OR(L228="CHoCH",L228="BOS")*1+(M228="Oui")*1+OR(G228="Londres",G228="New York")*1+(O228="Non")*1)</f>
        <v/>
      </c>
      <c r="Q228" s="27" t="str">
        <f aca="false">IF(P228="","",IF(P228=7,"A+",IF(P228&gt;=5,"B","C")))</f>
        <v/>
      </c>
      <c r="R228" s="29"/>
      <c r="S228" s="29"/>
      <c r="T228" s="27" t="str">
        <f aca="false">IF(OR(R228="",S228=""),"",R228+(R228-S228)*Paramètres!$B$6)</f>
        <v/>
      </c>
      <c r="U228" s="29"/>
      <c r="V228" s="27" t="str">
        <f aca="false">IF(OR(R228="",S228=""),"",ABS(R228-S228))</f>
        <v/>
      </c>
      <c r="W228" s="30" t="str">
        <f aca="false">IF(OR(U228="",V228="",N(V228)=0),"",ABS(U228-R228)/V228)</f>
        <v/>
      </c>
      <c r="X228" s="31"/>
      <c r="Y228" s="29"/>
      <c r="Z228" s="32"/>
      <c r="AA228" s="33" t="str">
        <f aca="false">IF(Y228="","",IF(Y228="Stop",-1,IF(Y228="BE",0,IF(Y228="TP1 + BE",Paramètres!$B$7*Paramètres!$B$6,IF(Y228="TP1 (100 %)",Paramètres!$B$6,IF(Y228="TP2",Paramètres!$B$7*Paramètres!$B$6+(1-Paramètres!$B$7)*N(W228),IF(Y228="Sortie manuelle",N(Z228),"")))))))</f>
        <v/>
      </c>
      <c r="AB228" s="34" t="str">
        <f aca="false">IF(AA228="","",AA228*IF(X228="",Paramètres!$B$5,X228))</f>
        <v/>
      </c>
      <c r="AC228" s="35" t="str">
        <f aca="false">IF(AB228="","",Paramètres!$B$4*(1+SUM(AB$5:AB228)))</f>
        <v/>
      </c>
      <c r="AD228" s="29"/>
      <c r="AE228" s="29"/>
      <c r="AF228" s="29"/>
      <c r="AG228" s="36"/>
      <c r="AH228" s="36"/>
      <c r="AI228" s="33" t="str">
        <f aca="false">IF(AA228="","",SUM(AA$5:AA228))</f>
        <v/>
      </c>
      <c r="AJ228" s="33" t="str">
        <f aca="false">IF(AI228="","",MAX(AI228,MAX(AJ$5:AJ227),0))</f>
        <v/>
      </c>
      <c r="AK228" s="33" t="str">
        <f aca="false">IF(AI228="","",AI228-AJ228)</f>
        <v/>
      </c>
      <c r="AL228" s="25" t="str">
        <f aca="false">IF(AA228="","",IF(AA228&lt;0,N(AL227)+1,0))</f>
        <v/>
      </c>
      <c r="AM228" s="37" t="str">
        <f aca="false">IF(B228="","",B228-WEEKDAY(B228,2)+1)</f>
        <v/>
      </c>
    </row>
    <row r="229" customFormat="false" ht="15" hidden="false" customHeight="false" outlineLevel="0" collapsed="false">
      <c r="A229" s="25" t="str">
        <f aca="false">IF(B229="","",ROW()-4)</f>
        <v/>
      </c>
      <c r="B229" s="26"/>
      <c r="C229" s="27" t="str">
        <f aca="false">IF(B229="","",CHOOSE(WEEKDAY(B229,2),"Lundi","Mardi","Mercredi","Jeudi","Vendredi","Samedi","Dimanche"))</f>
        <v/>
      </c>
      <c r="D229" s="28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5" t="str">
        <f aca="false">IF(B229="","",OR(AND(H229="Achat",I229="Haussier"),AND(H229="Vente",I229="Baissier"))*1+OR(AND(H229="Achat",J229="Discount"),AND(H229="Vente",J229="Premium"))*1+AND(K229&lt;&gt;"",K229&lt;&gt;"Aucune")*1+OR(L229="CHoCH",L229="BOS")*1+(M229="Oui")*1+OR(G229="Londres",G229="New York")*1+(O229="Non")*1)</f>
        <v/>
      </c>
      <c r="Q229" s="27" t="str">
        <f aca="false">IF(P229="","",IF(P229=7,"A+",IF(P229&gt;=5,"B","C")))</f>
        <v/>
      </c>
      <c r="R229" s="29"/>
      <c r="S229" s="29"/>
      <c r="T229" s="27" t="str">
        <f aca="false">IF(OR(R229="",S229=""),"",R229+(R229-S229)*Paramètres!$B$6)</f>
        <v/>
      </c>
      <c r="U229" s="29"/>
      <c r="V229" s="27" t="str">
        <f aca="false">IF(OR(R229="",S229=""),"",ABS(R229-S229))</f>
        <v/>
      </c>
      <c r="W229" s="30" t="str">
        <f aca="false">IF(OR(U229="",V229="",N(V229)=0),"",ABS(U229-R229)/V229)</f>
        <v/>
      </c>
      <c r="X229" s="31"/>
      <c r="Y229" s="29"/>
      <c r="Z229" s="32"/>
      <c r="AA229" s="33" t="str">
        <f aca="false">IF(Y229="","",IF(Y229="Stop",-1,IF(Y229="BE",0,IF(Y229="TP1 + BE",Paramètres!$B$7*Paramètres!$B$6,IF(Y229="TP1 (100 %)",Paramètres!$B$6,IF(Y229="TP2",Paramètres!$B$7*Paramètres!$B$6+(1-Paramètres!$B$7)*N(W229),IF(Y229="Sortie manuelle",N(Z229),"")))))))</f>
        <v/>
      </c>
      <c r="AB229" s="34" t="str">
        <f aca="false">IF(AA229="","",AA229*IF(X229="",Paramètres!$B$5,X229))</f>
        <v/>
      </c>
      <c r="AC229" s="35" t="str">
        <f aca="false">IF(AB229="","",Paramètres!$B$4*(1+SUM(AB$5:AB229)))</f>
        <v/>
      </c>
      <c r="AD229" s="29"/>
      <c r="AE229" s="29"/>
      <c r="AF229" s="29"/>
      <c r="AG229" s="36"/>
      <c r="AH229" s="36"/>
      <c r="AI229" s="33" t="str">
        <f aca="false">IF(AA229="","",SUM(AA$5:AA229))</f>
        <v/>
      </c>
      <c r="AJ229" s="33" t="str">
        <f aca="false">IF(AI229="","",MAX(AI229,MAX(AJ$5:AJ228),0))</f>
        <v/>
      </c>
      <c r="AK229" s="33" t="str">
        <f aca="false">IF(AI229="","",AI229-AJ229)</f>
        <v/>
      </c>
      <c r="AL229" s="25" t="str">
        <f aca="false">IF(AA229="","",IF(AA229&lt;0,N(AL228)+1,0))</f>
        <v/>
      </c>
      <c r="AM229" s="37" t="str">
        <f aca="false">IF(B229="","",B229-WEEKDAY(B229,2)+1)</f>
        <v/>
      </c>
    </row>
    <row r="230" customFormat="false" ht="15" hidden="false" customHeight="false" outlineLevel="0" collapsed="false">
      <c r="A230" s="25" t="str">
        <f aca="false">IF(B230="","",ROW()-4)</f>
        <v/>
      </c>
      <c r="B230" s="26"/>
      <c r="C230" s="27" t="str">
        <f aca="false">IF(B230="","",CHOOSE(WEEKDAY(B230,2),"Lundi","Mardi","Mercredi","Jeudi","Vendredi","Samedi","Dimanche"))</f>
        <v/>
      </c>
      <c r="D230" s="28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5" t="str">
        <f aca="false">IF(B230="","",OR(AND(H230="Achat",I230="Haussier"),AND(H230="Vente",I230="Baissier"))*1+OR(AND(H230="Achat",J230="Discount"),AND(H230="Vente",J230="Premium"))*1+AND(K230&lt;&gt;"",K230&lt;&gt;"Aucune")*1+OR(L230="CHoCH",L230="BOS")*1+(M230="Oui")*1+OR(G230="Londres",G230="New York")*1+(O230="Non")*1)</f>
        <v/>
      </c>
      <c r="Q230" s="27" t="str">
        <f aca="false">IF(P230="","",IF(P230=7,"A+",IF(P230&gt;=5,"B","C")))</f>
        <v/>
      </c>
      <c r="R230" s="29"/>
      <c r="S230" s="29"/>
      <c r="T230" s="27" t="str">
        <f aca="false">IF(OR(R230="",S230=""),"",R230+(R230-S230)*Paramètres!$B$6)</f>
        <v/>
      </c>
      <c r="U230" s="29"/>
      <c r="V230" s="27" t="str">
        <f aca="false">IF(OR(R230="",S230=""),"",ABS(R230-S230))</f>
        <v/>
      </c>
      <c r="W230" s="30" t="str">
        <f aca="false">IF(OR(U230="",V230="",N(V230)=0),"",ABS(U230-R230)/V230)</f>
        <v/>
      </c>
      <c r="X230" s="31"/>
      <c r="Y230" s="29"/>
      <c r="Z230" s="32"/>
      <c r="AA230" s="33" t="str">
        <f aca="false">IF(Y230="","",IF(Y230="Stop",-1,IF(Y230="BE",0,IF(Y230="TP1 + BE",Paramètres!$B$7*Paramètres!$B$6,IF(Y230="TP1 (100 %)",Paramètres!$B$6,IF(Y230="TP2",Paramètres!$B$7*Paramètres!$B$6+(1-Paramètres!$B$7)*N(W230),IF(Y230="Sortie manuelle",N(Z230),"")))))))</f>
        <v/>
      </c>
      <c r="AB230" s="34" t="str">
        <f aca="false">IF(AA230="","",AA230*IF(X230="",Paramètres!$B$5,X230))</f>
        <v/>
      </c>
      <c r="AC230" s="35" t="str">
        <f aca="false">IF(AB230="","",Paramètres!$B$4*(1+SUM(AB$5:AB230)))</f>
        <v/>
      </c>
      <c r="AD230" s="29"/>
      <c r="AE230" s="29"/>
      <c r="AF230" s="29"/>
      <c r="AG230" s="36"/>
      <c r="AH230" s="36"/>
      <c r="AI230" s="33" t="str">
        <f aca="false">IF(AA230="","",SUM(AA$5:AA230))</f>
        <v/>
      </c>
      <c r="AJ230" s="33" t="str">
        <f aca="false">IF(AI230="","",MAX(AI230,MAX(AJ$5:AJ229),0))</f>
        <v/>
      </c>
      <c r="AK230" s="33" t="str">
        <f aca="false">IF(AI230="","",AI230-AJ230)</f>
        <v/>
      </c>
      <c r="AL230" s="25" t="str">
        <f aca="false">IF(AA230="","",IF(AA230&lt;0,N(AL229)+1,0))</f>
        <v/>
      </c>
      <c r="AM230" s="37" t="str">
        <f aca="false">IF(B230="","",B230-WEEKDAY(B230,2)+1)</f>
        <v/>
      </c>
    </row>
    <row r="231" customFormat="false" ht="15" hidden="false" customHeight="false" outlineLevel="0" collapsed="false">
      <c r="A231" s="25" t="str">
        <f aca="false">IF(B231="","",ROW()-4)</f>
        <v/>
      </c>
      <c r="B231" s="26"/>
      <c r="C231" s="27" t="str">
        <f aca="false">IF(B231="","",CHOOSE(WEEKDAY(B231,2),"Lundi","Mardi","Mercredi","Jeudi","Vendredi","Samedi","Dimanche"))</f>
        <v/>
      </c>
      <c r="D231" s="28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5" t="str">
        <f aca="false">IF(B231="","",OR(AND(H231="Achat",I231="Haussier"),AND(H231="Vente",I231="Baissier"))*1+OR(AND(H231="Achat",J231="Discount"),AND(H231="Vente",J231="Premium"))*1+AND(K231&lt;&gt;"",K231&lt;&gt;"Aucune")*1+OR(L231="CHoCH",L231="BOS")*1+(M231="Oui")*1+OR(G231="Londres",G231="New York")*1+(O231="Non")*1)</f>
        <v/>
      </c>
      <c r="Q231" s="27" t="str">
        <f aca="false">IF(P231="","",IF(P231=7,"A+",IF(P231&gt;=5,"B","C")))</f>
        <v/>
      </c>
      <c r="R231" s="29"/>
      <c r="S231" s="29"/>
      <c r="T231" s="27" t="str">
        <f aca="false">IF(OR(R231="",S231=""),"",R231+(R231-S231)*Paramètres!$B$6)</f>
        <v/>
      </c>
      <c r="U231" s="29"/>
      <c r="V231" s="27" t="str">
        <f aca="false">IF(OR(R231="",S231=""),"",ABS(R231-S231))</f>
        <v/>
      </c>
      <c r="W231" s="30" t="str">
        <f aca="false">IF(OR(U231="",V231="",N(V231)=0),"",ABS(U231-R231)/V231)</f>
        <v/>
      </c>
      <c r="X231" s="31"/>
      <c r="Y231" s="29"/>
      <c r="Z231" s="32"/>
      <c r="AA231" s="33" t="str">
        <f aca="false">IF(Y231="","",IF(Y231="Stop",-1,IF(Y231="BE",0,IF(Y231="TP1 + BE",Paramètres!$B$7*Paramètres!$B$6,IF(Y231="TP1 (100 %)",Paramètres!$B$6,IF(Y231="TP2",Paramètres!$B$7*Paramètres!$B$6+(1-Paramètres!$B$7)*N(W231),IF(Y231="Sortie manuelle",N(Z231),"")))))))</f>
        <v/>
      </c>
      <c r="AB231" s="34" t="str">
        <f aca="false">IF(AA231="","",AA231*IF(X231="",Paramètres!$B$5,X231))</f>
        <v/>
      </c>
      <c r="AC231" s="35" t="str">
        <f aca="false">IF(AB231="","",Paramètres!$B$4*(1+SUM(AB$5:AB231)))</f>
        <v/>
      </c>
      <c r="AD231" s="29"/>
      <c r="AE231" s="29"/>
      <c r="AF231" s="29"/>
      <c r="AG231" s="36"/>
      <c r="AH231" s="36"/>
      <c r="AI231" s="33" t="str">
        <f aca="false">IF(AA231="","",SUM(AA$5:AA231))</f>
        <v/>
      </c>
      <c r="AJ231" s="33" t="str">
        <f aca="false">IF(AI231="","",MAX(AI231,MAX(AJ$5:AJ230),0))</f>
        <v/>
      </c>
      <c r="AK231" s="33" t="str">
        <f aca="false">IF(AI231="","",AI231-AJ231)</f>
        <v/>
      </c>
      <c r="AL231" s="25" t="str">
        <f aca="false">IF(AA231="","",IF(AA231&lt;0,N(AL230)+1,0))</f>
        <v/>
      </c>
      <c r="AM231" s="37" t="str">
        <f aca="false">IF(B231="","",B231-WEEKDAY(B231,2)+1)</f>
        <v/>
      </c>
    </row>
    <row r="232" customFormat="false" ht="15" hidden="false" customHeight="false" outlineLevel="0" collapsed="false">
      <c r="A232" s="25" t="str">
        <f aca="false">IF(B232="","",ROW()-4)</f>
        <v/>
      </c>
      <c r="B232" s="26"/>
      <c r="C232" s="27" t="str">
        <f aca="false">IF(B232="","",CHOOSE(WEEKDAY(B232,2),"Lundi","Mardi","Mercredi","Jeudi","Vendredi","Samedi","Dimanche"))</f>
        <v/>
      </c>
      <c r="D232" s="28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5" t="str">
        <f aca="false">IF(B232="","",OR(AND(H232="Achat",I232="Haussier"),AND(H232="Vente",I232="Baissier"))*1+OR(AND(H232="Achat",J232="Discount"),AND(H232="Vente",J232="Premium"))*1+AND(K232&lt;&gt;"",K232&lt;&gt;"Aucune")*1+OR(L232="CHoCH",L232="BOS")*1+(M232="Oui")*1+OR(G232="Londres",G232="New York")*1+(O232="Non")*1)</f>
        <v/>
      </c>
      <c r="Q232" s="27" t="str">
        <f aca="false">IF(P232="","",IF(P232=7,"A+",IF(P232&gt;=5,"B","C")))</f>
        <v/>
      </c>
      <c r="R232" s="29"/>
      <c r="S232" s="29"/>
      <c r="T232" s="27" t="str">
        <f aca="false">IF(OR(R232="",S232=""),"",R232+(R232-S232)*Paramètres!$B$6)</f>
        <v/>
      </c>
      <c r="U232" s="29"/>
      <c r="V232" s="27" t="str">
        <f aca="false">IF(OR(R232="",S232=""),"",ABS(R232-S232))</f>
        <v/>
      </c>
      <c r="W232" s="30" t="str">
        <f aca="false">IF(OR(U232="",V232="",N(V232)=0),"",ABS(U232-R232)/V232)</f>
        <v/>
      </c>
      <c r="X232" s="31"/>
      <c r="Y232" s="29"/>
      <c r="Z232" s="32"/>
      <c r="AA232" s="33" t="str">
        <f aca="false">IF(Y232="","",IF(Y232="Stop",-1,IF(Y232="BE",0,IF(Y232="TP1 + BE",Paramètres!$B$7*Paramètres!$B$6,IF(Y232="TP1 (100 %)",Paramètres!$B$6,IF(Y232="TP2",Paramètres!$B$7*Paramètres!$B$6+(1-Paramètres!$B$7)*N(W232),IF(Y232="Sortie manuelle",N(Z232),"")))))))</f>
        <v/>
      </c>
      <c r="AB232" s="34" t="str">
        <f aca="false">IF(AA232="","",AA232*IF(X232="",Paramètres!$B$5,X232))</f>
        <v/>
      </c>
      <c r="AC232" s="35" t="str">
        <f aca="false">IF(AB232="","",Paramètres!$B$4*(1+SUM(AB$5:AB232)))</f>
        <v/>
      </c>
      <c r="AD232" s="29"/>
      <c r="AE232" s="29"/>
      <c r="AF232" s="29"/>
      <c r="AG232" s="36"/>
      <c r="AH232" s="36"/>
      <c r="AI232" s="33" t="str">
        <f aca="false">IF(AA232="","",SUM(AA$5:AA232))</f>
        <v/>
      </c>
      <c r="AJ232" s="33" t="str">
        <f aca="false">IF(AI232="","",MAX(AI232,MAX(AJ$5:AJ231),0))</f>
        <v/>
      </c>
      <c r="AK232" s="33" t="str">
        <f aca="false">IF(AI232="","",AI232-AJ232)</f>
        <v/>
      </c>
      <c r="AL232" s="25" t="str">
        <f aca="false">IF(AA232="","",IF(AA232&lt;0,N(AL231)+1,0))</f>
        <v/>
      </c>
      <c r="AM232" s="37" t="str">
        <f aca="false">IF(B232="","",B232-WEEKDAY(B232,2)+1)</f>
        <v/>
      </c>
    </row>
    <row r="233" customFormat="false" ht="15" hidden="false" customHeight="false" outlineLevel="0" collapsed="false">
      <c r="A233" s="25" t="str">
        <f aca="false">IF(B233="","",ROW()-4)</f>
        <v/>
      </c>
      <c r="B233" s="26"/>
      <c r="C233" s="27" t="str">
        <f aca="false">IF(B233="","",CHOOSE(WEEKDAY(B233,2),"Lundi","Mardi","Mercredi","Jeudi","Vendredi","Samedi","Dimanche"))</f>
        <v/>
      </c>
      <c r="D233" s="28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5" t="str">
        <f aca="false">IF(B233="","",OR(AND(H233="Achat",I233="Haussier"),AND(H233="Vente",I233="Baissier"))*1+OR(AND(H233="Achat",J233="Discount"),AND(H233="Vente",J233="Premium"))*1+AND(K233&lt;&gt;"",K233&lt;&gt;"Aucune")*1+OR(L233="CHoCH",L233="BOS")*1+(M233="Oui")*1+OR(G233="Londres",G233="New York")*1+(O233="Non")*1)</f>
        <v/>
      </c>
      <c r="Q233" s="27" t="str">
        <f aca="false">IF(P233="","",IF(P233=7,"A+",IF(P233&gt;=5,"B","C")))</f>
        <v/>
      </c>
      <c r="R233" s="29"/>
      <c r="S233" s="29"/>
      <c r="T233" s="27" t="str">
        <f aca="false">IF(OR(R233="",S233=""),"",R233+(R233-S233)*Paramètres!$B$6)</f>
        <v/>
      </c>
      <c r="U233" s="29"/>
      <c r="V233" s="27" t="str">
        <f aca="false">IF(OR(R233="",S233=""),"",ABS(R233-S233))</f>
        <v/>
      </c>
      <c r="W233" s="30" t="str">
        <f aca="false">IF(OR(U233="",V233="",N(V233)=0),"",ABS(U233-R233)/V233)</f>
        <v/>
      </c>
      <c r="X233" s="31"/>
      <c r="Y233" s="29"/>
      <c r="Z233" s="32"/>
      <c r="AA233" s="33" t="str">
        <f aca="false">IF(Y233="","",IF(Y233="Stop",-1,IF(Y233="BE",0,IF(Y233="TP1 + BE",Paramètres!$B$7*Paramètres!$B$6,IF(Y233="TP1 (100 %)",Paramètres!$B$6,IF(Y233="TP2",Paramètres!$B$7*Paramètres!$B$6+(1-Paramètres!$B$7)*N(W233),IF(Y233="Sortie manuelle",N(Z233),"")))))))</f>
        <v/>
      </c>
      <c r="AB233" s="34" t="str">
        <f aca="false">IF(AA233="","",AA233*IF(X233="",Paramètres!$B$5,X233))</f>
        <v/>
      </c>
      <c r="AC233" s="35" t="str">
        <f aca="false">IF(AB233="","",Paramètres!$B$4*(1+SUM(AB$5:AB233)))</f>
        <v/>
      </c>
      <c r="AD233" s="29"/>
      <c r="AE233" s="29"/>
      <c r="AF233" s="29"/>
      <c r="AG233" s="36"/>
      <c r="AH233" s="36"/>
      <c r="AI233" s="33" t="str">
        <f aca="false">IF(AA233="","",SUM(AA$5:AA233))</f>
        <v/>
      </c>
      <c r="AJ233" s="33" t="str">
        <f aca="false">IF(AI233="","",MAX(AI233,MAX(AJ$5:AJ232),0))</f>
        <v/>
      </c>
      <c r="AK233" s="33" t="str">
        <f aca="false">IF(AI233="","",AI233-AJ233)</f>
        <v/>
      </c>
      <c r="AL233" s="25" t="str">
        <f aca="false">IF(AA233="","",IF(AA233&lt;0,N(AL232)+1,0))</f>
        <v/>
      </c>
      <c r="AM233" s="37" t="str">
        <f aca="false">IF(B233="","",B233-WEEKDAY(B233,2)+1)</f>
        <v/>
      </c>
    </row>
    <row r="234" customFormat="false" ht="15" hidden="false" customHeight="false" outlineLevel="0" collapsed="false">
      <c r="A234" s="25" t="str">
        <f aca="false">IF(B234="","",ROW()-4)</f>
        <v/>
      </c>
      <c r="B234" s="26"/>
      <c r="C234" s="27" t="str">
        <f aca="false">IF(B234="","",CHOOSE(WEEKDAY(B234,2),"Lundi","Mardi","Mercredi","Jeudi","Vendredi","Samedi","Dimanche"))</f>
        <v/>
      </c>
      <c r="D234" s="28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5" t="str">
        <f aca="false">IF(B234="","",OR(AND(H234="Achat",I234="Haussier"),AND(H234="Vente",I234="Baissier"))*1+OR(AND(H234="Achat",J234="Discount"),AND(H234="Vente",J234="Premium"))*1+AND(K234&lt;&gt;"",K234&lt;&gt;"Aucune")*1+OR(L234="CHoCH",L234="BOS")*1+(M234="Oui")*1+OR(G234="Londres",G234="New York")*1+(O234="Non")*1)</f>
        <v/>
      </c>
      <c r="Q234" s="27" t="str">
        <f aca="false">IF(P234="","",IF(P234=7,"A+",IF(P234&gt;=5,"B","C")))</f>
        <v/>
      </c>
      <c r="R234" s="29"/>
      <c r="S234" s="29"/>
      <c r="T234" s="27" t="str">
        <f aca="false">IF(OR(R234="",S234=""),"",R234+(R234-S234)*Paramètres!$B$6)</f>
        <v/>
      </c>
      <c r="U234" s="29"/>
      <c r="V234" s="27" t="str">
        <f aca="false">IF(OR(R234="",S234=""),"",ABS(R234-S234))</f>
        <v/>
      </c>
      <c r="W234" s="30" t="str">
        <f aca="false">IF(OR(U234="",V234="",N(V234)=0),"",ABS(U234-R234)/V234)</f>
        <v/>
      </c>
      <c r="X234" s="31"/>
      <c r="Y234" s="29"/>
      <c r="Z234" s="32"/>
      <c r="AA234" s="33" t="str">
        <f aca="false">IF(Y234="","",IF(Y234="Stop",-1,IF(Y234="BE",0,IF(Y234="TP1 + BE",Paramètres!$B$7*Paramètres!$B$6,IF(Y234="TP1 (100 %)",Paramètres!$B$6,IF(Y234="TP2",Paramètres!$B$7*Paramètres!$B$6+(1-Paramètres!$B$7)*N(W234),IF(Y234="Sortie manuelle",N(Z234),"")))))))</f>
        <v/>
      </c>
      <c r="AB234" s="34" t="str">
        <f aca="false">IF(AA234="","",AA234*IF(X234="",Paramètres!$B$5,X234))</f>
        <v/>
      </c>
      <c r="AC234" s="35" t="str">
        <f aca="false">IF(AB234="","",Paramètres!$B$4*(1+SUM(AB$5:AB234)))</f>
        <v/>
      </c>
      <c r="AD234" s="29"/>
      <c r="AE234" s="29"/>
      <c r="AF234" s="29"/>
      <c r="AG234" s="36"/>
      <c r="AH234" s="36"/>
      <c r="AI234" s="33" t="str">
        <f aca="false">IF(AA234="","",SUM(AA$5:AA234))</f>
        <v/>
      </c>
      <c r="AJ234" s="33" t="str">
        <f aca="false">IF(AI234="","",MAX(AI234,MAX(AJ$5:AJ233),0))</f>
        <v/>
      </c>
      <c r="AK234" s="33" t="str">
        <f aca="false">IF(AI234="","",AI234-AJ234)</f>
        <v/>
      </c>
      <c r="AL234" s="25" t="str">
        <f aca="false">IF(AA234="","",IF(AA234&lt;0,N(AL233)+1,0))</f>
        <v/>
      </c>
      <c r="AM234" s="37" t="str">
        <f aca="false">IF(B234="","",B234-WEEKDAY(B234,2)+1)</f>
        <v/>
      </c>
    </row>
    <row r="235" customFormat="false" ht="15" hidden="false" customHeight="false" outlineLevel="0" collapsed="false">
      <c r="A235" s="25" t="str">
        <f aca="false">IF(B235="","",ROW()-4)</f>
        <v/>
      </c>
      <c r="B235" s="26"/>
      <c r="C235" s="27" t="str">
        <f aca="false">IF(B235="","",CHOOSE(WEEKDAY(B235,2),"Lundi","Mardi","Mercredi","Jeudi","Vendredi","Samedi","Dimanche"))</f>
        <v/>
      </c>
      <c r="D235" s="28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5" t="str">
        <f aca="false">IF(B235="","",OR(AND(H235="Achat",I235="Haussier"),AND(H235="Vente",I235="Baissier"))*1+OR(AND(H235="Achat",J235="Discount"),AND(H235="Vente",J235="Premium"))*1+AND(K235&lt;&gt;"",K235&lt;&gt;"Aucune")*1+OR(L235="CHoCH",L235="BOS")*1+(M235="Oui")*1+OR(G235="Londres",G235="New York")*1+(O235="Non")*1)</f>
        <v/>
      </c>
      <c r="Q235" s="27" t="str">
        <f aca="false">IF(P235="","",IF(P235=7,"A+",IF(P235&gt;=5,"B","C")))</f>
        <v/>
      </c>
      <c r="R235" s="29"/>
      <c r="S235" s="29"/>
      <c r="T235" s="27" t="str">
        <f aca="false">IF(OR(R235="",S235=""),"",R235+(R235-S235)*Paramètres!$B$6)</f>
        <v/>
      </c>
      <c r="U235" s="29"/>
      <c r="V235" s="27" t="str">
        <f aca="false">IF(OR(R235="",S235=""),"",ABS(R235-S235))</f>
        <v/>
      </c>
      <c r="W235" s="30" t="str">
        <f aca="false">IF(OR(U235="",V235="",N(V235)=0),"",ABS(U235-R235)/V235)</f>
        <v/>
      </c>
      <c r="X235" s="31"/>
      <c r="Y235" s="29"/>
      <c r="Z235" s="32"/>
      <c r="AA235" s="33" t="str">
        <f aca="false">IF(Y235="","",IF(Y235="Stop",-1,IF(Y235="BE",0,IF(Y235="TP1 + BE",Paramètres!$B$7*Paramètres!$B$6,IF(Y235="TP1 (100 %)",Paramètres!$B$6,IF(Y235="TP2",Paramètres!$B$7*Paramètres!$B$6+(1-Paramètres!$B$7)*N(W235),IF(Y235="Sortie manuelle",N(Z235),"")))))))</f>
        <v/>
      </c>
      <c r="AB235" s="34" t="str">
        <f aca="false">IF(AA235="","",AA235*IF(X235="",Paramètres!$B$5,X235))</f>
        <v/>
      </c>
      <c r="AC235" s="35" t="str">
        <f aca="false">IF(AB235="","",Paramètres!$B$4*(1+SUM(AB$5:AB235)))</f>
        <v/>
      </c>
      <c r="AD235" s="29"/>
      <c r="AE235" s="29"/>
      <c r="AF235" s="29"/>
      <c r="AG235" s="36"/>
      <c r="AH235" s="36"/>
      <c r="AI235" s="33" t="str">
        <f aca="false">IF(AA235="","",SUM(AA$5:AA235))</f>
        <v/>
      </c>
      <c r="AJ235" s="33" t="str">
        <f aca="false">IF(AI235="","",MAX(AI235,MAX(AJ$5:AJ234),0))</f>
        <v/>
      </c>
      <c r="AK235" s="33" t="str">
        <f aca="false">IF(AI235="","",AI235-AJ235)</f>
        <v/>
      </c>
      <c r="AL235" s="25" t="str">
        <f aca="false">IF(AA235="","",IF(AA235&lt;0,N(AL234)+1,0))</f>
        <v/>
      </c>
      <c r="AM235" s="37" t="str">
        <f aca="false">IF(B235="","",B235-WEEKDAY(B235,2)+1)</f>
        <v/>
      </c>
    </row>
    <row r="236" customFormat="false" ht="15" hidden="false" customHeight="false" outlineLevel="0" collapsed="false">
      <c r="A236" s="25" t="str">
        <f aca="false">IF(B236="","",ROW()-4)</f>
        <v/>
      </c>
      <c r="B236" s="26"/>
      <c r="C236" s="27" t="str">
        <f aca="false">IF(B236="","",CHOOSE(WEEKDAY(B236,2),"Lundi","Mardi","Mercredi","Jeudi","Vendredi","Samedi","Dimanche"))</f>
        <v/>
      </c>
      <c r="D236" s="28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5" t="str">
        <f aca="false">IF(B236="","",OR(AND(H236="Achat",I236="Haussier"),AND(H236="Vente",I236="Baissier"))*1+OR(AND(H236="Achat",J236="Discount"),AND(H236="Vente",J236="Premium"))*1+AND(K236&lt;&gt;"",K236&lt;&gt;"Aucune")*1+OR(L236="CHoCH",L236="BOS")*1+(M236="Oui")*1+OR(G236="Londres",G236="New York")*1+(O236="Non")*1)</f>
        <v/>
      </c>
      <c r="Q236" s="27" t="str">
        <f aca="false">IF(P236="","",IF(P236=7,"A+",IF(P236&gt;=5,"B","C")))</f>
        <v/>
      </c>
      <c r="R236" s="29"/>
      <c r="S236" s="29"/>
      <c r="T236" s="27" t="str">
        <f aca="false">IF(OR(R236="",S236=""),"",R236+(R236-S236)*Paramètres!$B$6)</f>
        <v/>
      </c>
      <c r="U236" s="29"/>
      <c r="V236" s="27" t="str">
        <f aca="false">IF(OR(R236="",S236=""),"",ABS(R236-S236))</f>
        <v/>
      </c>
      <c r="W236" s="30" t="str">
        <f aca="false">IF(OR(U236="",V236="",N(V236)=0),"",ABS(U236-R236)/V236)</f>
        <v/>
      </c>
      <c r="X236" s="31"/>
      <c r="Y236" s="29"/>
      <c r="Z236" s="32"/>
      <c r="AA236" s="33" t="str">
        <f aca="false">IF(Y236="","",IF(Y236="Stop",-1,IF(Y236="BE",0,IF(Y236="TP1 + BE",Paramètres!$B$7*Paramètres!$B$6,IF(Y236="TP1 (100 %)",Paramètres!$B$6,IF(Y236="TP2",Paramètres!$B$7*Paramètres!$B$6+(1-Paramètres!$B$7)*N(W236),IF(Y236="Sortie manuelle",N(Z236),"")))))))</f>
        <v/>
      </c>
      <c r="AB236" s="34" t="str">
        <f aca="false">IF(AA236="","",AA236*IF(X236="",Paramètres!$B$5,X236))</f>
        <v/>
      </c>
      <c r="AC236" s="35" t="str">
        <f aca="false">IF(AB236="","",Paramètres!$B$4*(1+SUM(AB$5:AB236)))</f>
        <v/>
      </c>
      <c r="AD236" s="29"/>
      <c r="AE236" s="29"/>
      <c r="AF236" s="29"/>
      <c r="AG236" s="36"/>
      <c r="AH236" s="36"/>
      <c r="AI236" s="33" t="str">
        <f aca="false">IF(AA236="","",SUM(AA$5:AA236))</f>
        <v/>
      </c>
      <c r="AJ236" s="33" t="str">
        <f aca="false">IF(AI236="","",MAX(AI236,MAX(AJ$5:AJ235),0))</f>
        <v/>
      </c>
      <c r="AK236" s="33" t="str">
        <f aca="false">IF(AI236="","",AI236-AJ236)</f>
        <v/>
      </c>
      <c r="AL236" s="25" t="str">
        <f aca="false">IF(AA236="","",IF(AA236&lt;0,N(AL235)+1,0))</f>
        <v/>
      </c>
      <c r="AM236" s="37" t="str">
        <f aca="false">IF(B236="","",B236-WEEKDAY(B236,2)+1)</f>
        <v/>
      </c>
    </row>
    <row r="237" customFormat="false" ht="15" hidden="false" customHeight="false" outlineLevel="0" collapsed="false">
      <c r="A237" s="25" t="str">
        <f aca="false">IF(B237="","",ROW()-4)</f>
        <v/>
      </c>
      <c r="B237" s="26"/>
      <c r="C237" s="27" t="str">
        <f aca="false">IF(B237="","",CHOOSE(WEEKDAY(B237,2),"Lundi","Mardi","Mercredi","Jeudi","Vendredi","Samedi","Dimanche"))</f>
        <v/>
      </c>
      <c r="D237" s="28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5" t="str">
        <f aca="false">IF(B237="","",OR(AND(H237="Achat",I237="Haussier"),AND(H237="Vente",I237="Baissier"))*1+OR(AND(H237="Achat",J237="Discount"),AND(H237="Vente",J237="Premium"))*1+AND(K237&lt;&gt;"",K237&lt;&gt;"Aucune")*1+OR(L237="CHoCH",L237="BOS")*1+(M237="Oui")*1+OR(G237="Londres",G237="New York")*1+(O237="Non")*1)</f>
        <v/>
      </c>
      <c r="Q237" s="27" t="str">
        <f aca="false">IF(P237="","",IF(P237=7,"A+",IF(P237&gt;=5,"B","C")))</f>
        <v/>
      </c>
      <c r="R237" s="29"/>
      <c r="S237" s="29"/>
      <c r="T237" s="27" t="str">
        <f aca="false">IF(OR(R237="",S237=""),"",R237+(R237-S237)*Paramètres!$B$6)</f>
        <v/>
      </c>
      <c r="U237" s="29"/>
      <c r="V237" s="27" t="str">
        <f aca="false">IF(OR(R237="",S237=""),"",ABS(R237-S237))</f>
        <v/>
      </c>
      <c r="W237" s="30" t="str">
        <f aca="false">IF(OR(U237="",V237="",N(V237)=0),"",ABS(U237-R237)/V237)</f>
        <v/>
      </c>
      <c r="X237" s="31"/>
      <c r="Y237" s="29"/>
      <c r="Z237" s="32"/>
      <c r="AA237" s="33" t="str">
        <f aca="false">IF(Y237="","",IF(Y237="Stop",-1,IF(Y237="BE",0,IF(Y237="TP1 + BE",Paramètres!$B$7*Paramètres!$B$6,IF(Y237="TP1 (100 %)",Paramètres!$B$6,IF(Y237="TP2",Paramètres!$B$7*Paramètres!$B$6+(1-Paramètres!$B$7)*N(W237),IF(Y237="Sortie manuelle",N(Z237),"")))))))</f>
        <v/>
      </c>
      <c r="AB237" s="34" t="str">
        <f aca="false">IF(AA237="","",AA237*IF(X237="",Paramètres!$B$5,X237))</f>
        <v/>
      </c>
      <c r="AC237" s="35" t="str">
        <f aca="false">IF(AB237="","",Paramètres!$B$4*(1+SUM(AB$5:AB237)))</f>
        <v/>
      </c>
      <c r="AD237" s="29"/>
      <c r="AE237" s="29"/>
      <c r="AF237" s="29"/>
      <c r="AG237" s="36"/>
      <c r="AH237" s="36"/>
      <c r="AI237" s="33" t="str">
        <f aca="false">IF(AA237="","",SUM(AA$5:AA237))</f>
        <v/>
      </c>
      <c r="AJ237" s="33" t="str">
        <f aca="false">IF(AI237="","",MAX(AI237,MAX(AJ$5:AJ236),0))</f>
        <v/>
      </c>
      <c r="AK237" s="33" t="str">
        <f aca="false">IF(AI237="","",AI237-AJ237)</f>
        <v/>
      </c>
      <c r="AL237" s="25" t="str">
        <f aca="false">IF(AA237="","",IF(AA237&lt;0,N(AL236)+1,0))</f>
        <v/>
      </c>
      <c r="AM237" s="37" t="str">
        <f aca="false">IF(B237="","",B237-WEEKDAY(B237,2)+1)</f>
        <v/>
      </c>
    </row>
    <row r="238" customFormat="false" ht="15" hidden="false" customHeight="false" outlineLevel="0" collapsed="false">
      <c r="A238" s="25" t="str">
        <f aca="false">IF(B238="","",ROW()-4)</f>
        <v/>
      </c>
      <c r="B238" s="26"/>
      <c r="C238" s="27" t="str">
        <f aca="false">IF(B238="","",CHOOSE(WEEKDAY(B238,2),"Lundi","Mardi","Mercredi","Jeudi","Vendredi","Samedi","Dimanche"))</f>
        <v/>
      </c>
      <c r="D238" s="28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5" t="str">
        <f aca="false">IF(B238="","",OR(AND(H238="Achat",I238="Haussier"),AND(H238="Vente",I238="Baissier"))*1+OR(AND(H238="Achat",J238="Discount"),AND(H238="Vente",J238="Premium"))*1+AND(K238&lt;&gt;"",K238&lt;&gt;"Aucune")*1+OR(L238="CHoCH",L238="BOS")*1+(M238="Oui")*1+OR(G238="Londres",G238="New York")*1+(O238="Non")*1)</f>
        <v/>
      </c>
      <c r="Q238" s="27" t="str">
        <f aca="false">IF(P238="","",IF(P238=7,"A+",IF(P238&gt;=5,"B","C")))</f>
        <v/>
      </c>
      <c r="R238" s="29"/>
      <c r="S238" s="29"/>
      <c r="T238" s="27" t="str">
        <f aca="false">IF(OR(R238="",S238=""),"",R238+(R238-S238)*Paramètres!$B$6)</f>
        <v/>
      </c>
      <c r="U238" s="29"/>
      <c r="V238" s="27" t="str">
        <f aca="false">IF(OR(R238="",S238=""),"",ABS(R238-S238))</f>
        <v/>
      </c>
      <c r="W238" s="30" t="str">
        <f aca="false">IF(OR(U238="",V238="",N(V238)=0),"",ABS(U238-R238)/V238)</f>
        <v/>
      </c>
      <c r="X238" s="31"/>
      <c r="Y238" s="29"/>
      <c r="Z238" s="32"/>
      <c r="AA238" s="33" t="str">
        <f aca="false">IF(Y238="","",IF(Y238="Stop",-1,IF(Y238="BE",0,IF(Y238="TP1 + BE",Paramètres!$B$7*Paramètres!$B$6,IF(Y238="TP1 (100 %)",Paramètres!$B$6,IF(Y238="TP2",Paramètres!$B$7*Paramètres!$B$6+(1-Paramètres!$B$7)*N(W238),IF(Y238="Sortie manuelle",N(Z238),"")))))))</f>
        <v/>
      </c>
      <c r="AB238" s="34" t="str">
        <f aca="false">IF(AA238="","",AA238*IF(X238="",Paramètres!$B$5,X238))</f>
        <v/>
      </c>
      <c r="AC238" s="35" t="str">
        <f aca="false">IF(AB238="","",Paramètres!$B$4*(1+SUM(AB$5:AB238)))</f>
        <v/>
      </c>
      <c r="AD238" s="29"/>
      <c r="AE238" s="29"/>
      <c r="AF238" s="29"/>
      <c r="AG238" s="36"/>
      <c r="AH238" s="36"/>
      <c r="AI238" s="33" t="str">
        <f aca="false">IF(AA238="","",SUM(AA$5:AA238))</f>
        <v/>
      </c>
      <c r="AJ238" s="33" t="str">
        <f aca="false">IF(AI238="","",MAX(AI238,MAX(AJ$5:AJ237),0))</f>
        <v/>
      </c>
      <c r="AK238" s="33" t="str">
        <f aca="false">IF(AI238="","",AI238-AJ238)</f>
        <v/>
      </c>
      <c r="AL238" s="25" t="str">
        <f aca="false">IF(AA238="","",IF(AA238&lt;0,N(AL237)+1,0))</f>
        <v/>
      </c>
      <c r="AM238" s="37" t="str">
        <f aca="false">IF(B238="","",B238-WEEKDAY(B238,2)+1)</f>
        <v/>
      </c>
    </row>
    <row r="239" customFormat="false" ht="15" hidden="false" customHeight="false" outlineLevel="0" collapsed="false">
      <c r="A239" s="25" t="str">
        <f aca="false">IF(B239="","",ROW()-4)</f>
        <v/>
      </c>
      <c r="B239" s="26"/>
      <c r="C239" s="27" t="str">
        <f aca="false">IF(B239="","",CHOOSE(WEEKDAY(B239,2),"Lundi","Mardi","Mercredi","Jeudi","Vendredi","Samedi","Dimanche"))</f>
        <v/>
      </c>
      <c r="D239" s="28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5" t="str">
        <f aca="false">IF(B239="","",OR(AND(H239="Achat",I239="Haussier"),AND(H239="Vente",I239="Baissier"))*1+OR(AND(H239="Achat",J239="Discount"),AND(H239="Vente",J239="Premium"))*1+AND(K239&lt;&gt;"",K239&lt;&gt;"Aucune")*1+OR(L239="CHoCH",L239="BOS")*1+(M239="Oui")*1+OR(G239="Londres",G239="New York")*1+(O239="Non")*1)</f>
        <v/>
      </c>
      <c r="Q239" s="27" t="str">
        <f aca="false">IF(P239="","",IF(P239=7,"A+",IF(P239&gt;=5,"B","C")))</f>
        <v/>
      </c>
      <c r="R239" s="29"/>
      <c r="S239" s="29"/>
      <c r="T239" s="27" t="str">
        <f aca="false">IF(OR(R239="",S239=""),"",R239+(R239-S239)*Paramètres!$B$6)</f>
        <v/>
      </c>
      <c r="U239" s="29"/>
      <c r="V239" s="27" t="str">
        <f aca="false">IF(OR(R239="",S239=""),"",ABS(R239-S239))</f>
        <v/>
      </c>
      <c r="W239" s="30" t="str">
        <f aca="false">IF(OR(U239="",V239="",N(V239)=0),"",ABS(U239-R239)/V239)</f>
        <v/>
      </c>
      <c r="X239" s="31"/>
      <c r="Y239" s="29"/>
      <c r="Z239" s="32"/>
      <c r="AA239" s="33" t="str">
        <f aca="false">IF(Y239="","",IF(Y239="Stop",-1,IF(Y239="BE",0,IF(Y239="TP1 + BE",Paramètres!$B$7*Paramètres!$B$6,IF(Y239="TP1 (100 %)",Paramètres!$B$6,IF(Y239="TP2",Paramètres!$B$7*Paramètres!$B$6+(1-Paramètres!$B$7)*N(W239),IF(Y239="Sortie manuelle",N(Z239),"")))))))</f>
        <v/>
      </c>
      <c r="AB239" s="34" t="str">
        <f aca="false">IF(AA239="","",AA239*IF(X239="",Paramètres!$B$5,X239))</f>
        <v/>
      </c>
      <c r="AC239" s="35" t="str">
        <f aca="false">IF(AB239="","",Paramètres!$B$4*(1+SUM(AB$5:AB239)))</f>
        <v/>
      </c>
      <c r="AD239" s="29"/>
      <c r="AE239" s="29"/>
      <c r="AF239" s="29"/>
      <c r="AG239" s="36"/>
      <c r="AH239" s="36"/>
      <c r="AI239" s="33" t="str">
        <f aca="false">IF(AA239="","",SUM(AA$5:AA239))</f>
        <v/>
      </c>
      <c r="AJ239" s="33" t="str">
        <f aca="false">IF(AI239="","",MAX(AI239,MAX(AJ$5:AJ238),0))</f>
        <v/>
      </c>
      <c r="AK239" s="33" t="str">
        <f aca="false">IF(AI239="","",AI239-AJ239)</f>
        <v/>
      </c>
      <c r="AL239" s="25" t="str">
        <f aca="false">IF(AA239="","",IF(AA239&lt;0,N(AL238)+1,0))</f>
        <v/>
      </c>
      <c r="AM239" s="37" t="str">
        <f aca="false">IF(B239="","",B239-WEEKDAY(B239,2)+1)</f>
        <v/>
      </c>
    </row>
    <row r="240" customFormat="false" ht="15" hidden="false" customHeight="false" outlineLevel="0" collapsed="false">
      <c r="A240" s="25" t="str">
        <f aca="false">IF(B240="","",ROW()-4)</f>
        <v/>
      </c>
      <c r="B240" s="26"/>
      <c r="C240" s="27" t="str">
        <f aca="false">IF(B240="","",CHOOSE(WEEKDAY(B240,2),"Lundi","Mardi","Mercredi","Jeudi","Vendredi","Samedi","Dimanche"))</f>
        <v/>
      </c>
      <c r="D240" s="28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5" t="str">
        <f aca="false">IF(B240="","",OR(AND(H240="Achat",I240="Haussier"),AND(H240="Vente",I240="Baissier"))*1+OR(AND(H240="Achat",J240="Discount"),AND(H240="Vente",J240="Premium"))*1+AND(K240&lt;&gt;"",K240&lt;&gt;"Aucune")*1+OR(L240="CHoCH",L240="BOS")*1+(M240="Oui")*1+OR(G240="Londres",G240="New York")*1+(O240="Non")*1)</f>
        <v/>
      </c>
      <c r="Q240" s="27" t="str">
        <f aca="false">IF(P240="","",IF(P240=7,"A+",IF(P240&gt;=5,"B","C")))</f>
        <v/>
      </c>
      <c r="R240" s="29"/>
      <c r="S240" s="29"/>
      <c r="T240" s="27" t="str">
        <f aca="false">IF(OR(R240="",S240=""),"",R240+(R240-S240)*Paramètres!$B$6)</f>
        <v/>
      </c>
      <c r="U240" s="29"/>
      <c r="V240" s="27" t="str">
        <f aca="false">IF(OR(R240="",S240=""),"",ABS(R240-S240))</f>
        <v/>
      </c>
      <c r="W240" s="30" t="str">
        <f aca="false">IF(OR(U240="",V240="",N(V240)=0),"",ABS(U240-R240)/V240)</f>
        <v/>
      </c>
      <c r="X240" s="31"/>
      <c r="Y240" s="29"/>
      <c r="Z240" s="32"/>
      <c r="AA240" s="33" t="str">
        <f aca="false">IF(Y240="","",IF(Y240="Stop",-1,IF(Y240="BE",0,IF(Y240="TP1 + BE",Paramètres!$B$7*Paramètres!$B$6,IF(Y240="TP1 (100 %)",Paramètres!$B$6,IF(Y240="TP2",Paramètres!$B$7*Paramètres!$B$6+(1-Paramètres!$B$7)*N(W240),IF(Y240="Sortie manuelle",N(Z240),"")))))))</f>
        <v/>
      </c>
      <c r="AB240" s="34" t="str">
        <f aca="false">IF(AA240="","",AA240*IF(X240="",Paramètres!$B$5,X240))</f>
        <v/>
      </c>
      <c r="AC240" s="35" t="str">
        <f aca="false">IF(AB240="","",Paramètres!$B$4*(1+SUM(AB$5:AB240)))</f>
        <v/>
      </c>
      <c r="AD240" s="29"/>
      <c r="AE240" s="29"/>
      <c r="AF240" s="29"/>
      <c r="AG240" s="36"/>
      <c r="AH240" s="36"/>
      <c r="AI240" s="33" t="str">
        <f aca="false">IF(AA240="","",SUM(AA$5:AA240))</f>
        <v/>
      </c>
      <c r="AJ240" s="33" t="str">
        <f aca="false">IF(AI240="","",MAX(AI240,MAX(AJ$5:AJ239),0))</f>
        <v/>
      </c>
      <c r="AK240" s="33" t="str">
        <f aca="false">IF(AI240="","",AI240-AJ240)</f>
        <v/>
      </c>
      <c r="AL240" s="25" t="str">
        <f aca="false">IF(AA240="","",IF(AA240&lt;0,N(AL239)+1,0))</f>
        <v/>
      </c>
      <c r="AM240" s="37" t="str">
        <f aca="false">IF(B240="","",B240-WEEKDAY(B240,2)+1)</f>
        <v/>
      </c>
    </row>
    <row r="241" customFormat="false" ht="15" hidden="false" customHeight="false" outlineLevel="0" collapsed="false">
      <c r="A241" s="25" t="str">
        <f aca="false">IF(B241="","",ROW()-4)</f>
        <v/>
      </c>
      <c r="B241" s="26"/>
      <c r="C241" s="27" t="str">
        <f aca="false">IF(B241="","",CHOOSE(WEEKDAY(B241,2),"Lundi","Mardi","Mercredi","Jeudi","Vendredi","Samedi","Dimanche"))</f>
        <v/>
      </c>
      <c r="D241" s="28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5" t="str">
        <f aca="false">IF(B241="","",OR(AND(H241="Achat",I241="Haussier"),AND(H241="Vente",I241="Baissier"))*1+OR(AND(H241="Achat",J241="Discount"),AND(H241="Vente",J241="Premium"))*1+AND(K241&lt;&gt;"",K241&lt;&gt;"Aucune")*1+OR(L241="CHoCH",L241="BOS")*1+(M241="Oui")*1+OR(G241="Londres",G241="New York")*1+(O241="Non")*1)</f>
        <v/>
      </c>
      <c r="Q241" s="27" t="str">
        <f aca="false">IF(P241="","",IF(P241=7,"A+",IF(P241&gt;=5,"B","C")))</f>
        <v/>
      </c>
      <c r="R241" s="29"/>
      <c r="S241" s="29"/>
      <c r="T241" s="27" t="str">
        <f aca="false">IF(OR(R241="",S241=""),"",R241+(R241-S241)*Paramètres!$B$6)</f>
        <v/>
      </c>
      <c r="U241" s="29"/>
      <c r="V241" s="27" t="str">
        <f aca="false">IF(OR(R241="",S241=""),"",ABS(R241-S241))</f>
        <v/>
      </c>
      <c r="W241" s="30" t="str">
        <f aca="false">IF(OR(U241="",V241="",N(V241)=0),"",ABS(U241-R241)/V241)</f>
        <v/>
      </c>
      <c r="X241" s="31"/>
      <c r="Y241" s="29"/>
      <c r="Z241" s="32"/>
      <c r="AA241" s="33" t="str">
        <f aca="false">IF(Y241="","",IF(Y241="Stop",-1,IF(Y241="BE",0,IF(Y241="TP1 + BE",Paramètres!$B$7*Paramètres!$B$6,IF(Y241="TP1 (100 %)",Paramètres!$B$6,IF(Y241="TP2",Paramètres!$B$7*Paramètres!$B$6+(1-Paramètres!$B$7)*N(W241),IF(Y241="Sortie manuelle",N(Z241),"")))))))</f>
        <v/>
      </c>
      <c r="AB241" s="34" t="str">
        <f aca="false">IF(AA241="","",AA241*IF(X241="",Paramètres!$B$5,X241))</f>
        <v/>
      </c>
      <c r="AC241" s="35" t="str">
        <f aca="false">IF(AB241="","",Paramètres!$B$4*(1+SUM(AB$5:AB241)))</f>
        <v/>
      </c>
      <c r="AD241" s="29"/>
      <c r="AE241" s="29"/>
      <c r="AF241" s="29"/>
      <c r="AG241" s="36"/>
      <c r="AH241" s="36"/>
      <c r="AI241" s="33" t="str">
        <f aca="false">IF(AA241="","",SUM(AA$5:AA241))</f>
        <v/>
      </c>
      <c r="AJ241" s="33" t="str">
        <f aca="false">IF(AI241="","",MAX(AI241,MAX(AJ$5:AJ240),0))</f>
        <v/>
      </c>
      <c r="AK241" s="33" t="str">
        <f aca="false">IF(AI241="","",AI241-AJ241)</f>
        <v/>
      </c>
      <c r="AL241" s="25" t="str">
        <f aca="false">IF(AA241="","",IF(AA241&lt;0,N(AL240)+1,0))</f>
        <v/>
      </c>
      <c r="AM241" s="37" t="str">
        <f aca="false">IF(B241="","",B241-WEEKDAY(B241,2)+1)</f>
        <v/>
      </c>
    </row>
    <row r="242" customFormat="false" ht="15" hidden="false" customHeight="false" outlineLevel="0" collapsed="false">
      <c r="A242" s="25" t="str">
        <f aca="false">IF(B242="","",ROW()-4)</f>
        <v/>
      </c>
      <c r="B242" s="26"/>
      <c r="C242" s="27" t="str">
        <f aca="false">IF(B242="","",CHOOSE(WEEKDAY(B242,2),"Lundi","Mardi","Mercredi","Jeudi","Vendredi","Samedi","Dimanche"))</f>
        <v/>
      </c>
      <c r="D242" s="28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5" t="str">
        <f aca="false">IF(B242="","",OR(AND(H242="Achat",I242="Haussier"),AND(H242="Vente",I242="Baissier"))*1+OR(AND(H242="Achat",J242="Discount"),AND(H242="Vente",J242="Premium"))*1+AND(K242&lt;&gt;"",K242&lt;&gt;"Aucune")*1+OR(L242="CHoCH",L242="BOS")*1+(M242="Oui")*1+OR(G242="Londres",G242="New York")*1+(O242="Non")*1)</f>
        <v/>
      </c>
      <c r="Q242" s="27" t="str">
        <f aca="false">IF(P242="","",IF(P242=7,"A+",IF(P242&gt;=5,"B","C")))</f>
        <v/>
      </c>
      <c r="R242" s="29"/>
      <c r="S242" s="29"/>
      <c r="T242" s="27" t="str">
        <f aca="false">IF(OR(R242="",S242=""),"",R242+(R242-S242)*Paramètres!$B$6)</f>
        <v/>
      </c>
      <c r="U242" s="29"/>
      <c r="V242" s="27" t="str">
        <f aca="false">IF(OR(R242="",S242=""),"",ABS(R242-S242))</f>
        <v/>
      </c>
      <c r="W242" s="30" t="str">
        <f aca="false">IF(OR(U242="",V242="",N(V242)=0),"",ABS(U242-R242)/V242)</f>
        <v/>
      </c>
      <c r="X242" s="31"/>
      <c r="Y242" s="29"/>
      <c r="Z242" s="32"/>
      <c r="AA242" s="33" t="str">
        <f aca="false">IF(Y242="","",IF(Y242="Stop",-1,IF(Y242="BE",0,IF(Y242="TP1 + BE",Paramètres!$B$7*Paramètres!$B$6,IF(Y242="TP1 (100 %)",Paramètres!$B$6,IF(Y242="TP2",Paramètres!$B$7*Paramètres!$B$6+(1-Paramètres!$B$7)*N(W242),IF(Y242="Sortie manuelle",N(Z242),"")))))))</f>
        <v/>
      </c>
      <c r="AB242" s="34" t="str">
        <f aca="false">IF(AA242="","",AA242*IF(X242="",Paramètres!$B$5,X242))</f>
        <v/>
      </c>
      <c r="AC242" s="35" t="str">
        <f aca="false">IF(AB242="","",Paramètres!$B$4*(1+SUM(AB$5:AB242)))</f>
        <v/>
      </c>
      <c r="AD242" s="29"/>
      <c r="AE242" s="29"/>
      <c r="AF242" s="29"/>
      <c r="AG242" s="36"/>
      <c r="AH242" s="36"/>
      <c r="AI242" s="33" t="str">
        <f aca="false">IF(AA242="","",SUM(AA$5:AA242))</f>
        <v/>
      </c>
      <c r="AJ242" s="33" t="str">
        <f aca="false">IF(AI242="","",MAX(AI242,MAX(AJ$5:AJ241),0))</f>
        <v/>
      </c>
      <c r="AK242" s="33" t="str">
        <f aca="false">IF(AI242="","",AI242-AJ242)</f>
        <v/>
      </c>
      <c r="AL242" s="25" t="str">
        <f aca="false">IF(AA242="","",IF(AA242&lt;0,N(AL241)+1,0))</f>
        <v/>
      </c>
      <c r="AM242" s="37" t="str">
        <f aca="false">IF(B242="","",B242-WEEKDAY(B242,2)+1)</f>
        <v/>
      </c>
    </row>
    <row r="243" customFormat="false" ht="15" hidden="false" customHeight="false" outlineLevel="0" collapsed="false">
      <c r="A243" s="25" t="str">
        <f aca="false">IF(B243="","",ROW()-4)</f>
        <v/>
      </c>
      <c r="B243" s="26"/>
      <c r="C243" s="27" t="str">
        <f aca="false">IF(B243="","",CHOOSE(WEEKDAY(B243,2),"Lundi","Mardi","Mercredi","Jeudi","Vendredi","Samedi","Dimanche"))</f>
        <v/>
      </c>
      <c r="D243" s="28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5" t="str">
        <f aca="false">IF(B243="","",OR(AND(H243="Achat",I243="Haussier"),AND(H243="Vente",I243="Baissier"))*1+OR(AND(H243="Achat",J243="Discount"),AND(H243="Vente",J243="Premium"))*1+AND(K243&lt;&gt;"",K243&lt;&gt;"Aucune")*1+OR(L243="CHoCH",L243="BOS")*1+(M243="Oui")*1+OR(G243="Londres",G243="New York")*1+(O243="Non")*1)</f>
        <v/>
      </c>
      <c r="Q243" s="27" t="str">
        <f aca="false">IF(P243="","",IF(P243=7,"A+",IF(P243&gt;=5,"B","C")))</f>
        <v/>
      </c>
      <c r="R243" s="29"/>
      <c r="S243" s="29"/>
      <c r="T243" s="27" t="str">
        <f aca="false">IF(OR(R243="",S243=""),"",R243+(R243-S243)*Paramètres!$B$6)</f>
        <v/>
      </c>
      <c r="U243" s="29"/>
      <c r="V243" s="27" t="str">
        <f aca="false">IF(OR(R243="",S243=""),"",ABS(R243-S243))</f>
        <v/>
      </c>
      <c r="W243" s="30" t="str">
        <f aca="false">IF(OR(U243="",V243="",N(V243)=0),"",ABS(U243-R243)/V243)</f>
        <v/>
      </c>
      <c r="X243" s="31"/>
      <c r="Y243" s="29"/>
      <c r="Z243" s="32"/>
      <c r="AA243" s="33" t="str">
        <f aca="false">IF(Y243="","",IF(Y243="Stop",-1,IF(Y243="BE",0,IF(Y243="TP1 + BE",Paramètres!$B$7*Paramètres!$B$6,IF(Y243="TP1 (100 %)",Paramètres!$B$6,IF(Y243="TP2",Paramètres!$B$7*Paramètres!$B$6+(1-Paramètres!$B$7)*N(W243),IF(Y243="Sortie manuelle",N(Z243),"")))))))</f>
        <v/>
      </c>
      <c r="AB243" s="34" t="str">
        <f aca="false">IF(AA243="","",AA243*IF(X243="",Paramètres!$B$5,X243))</f>
        <v/>
      </c>
      <c r="AC243" s="35" t="str">
        <f aca="false">IF(AB243="","",Paramètres!$B$4*(1+SUM(AB$5:AB243)))</f>
        <v/>
      </c>
      <c r="AD243" s="29"/>
      <c r="AE243" s="29"/>
      <c r="AF243" s="29"/>
      <c r="AG243" s="36"/>
      <c r="AH243" s="36"/>
      <c r="AI243" s="33" t="str">
        <f aca="false">IF(AA243="","",SUM(AA$5:AA243))</f>
        <v/>
      </c>
      <c r="AJ243" s="33" t="str">
        <f aca="false">IF(AI243="","",MAX(AI243,MAX(AJ$5:AJ242),0))</f>
        <v/>
      </c>
      <c r="AK243" s="33" t="str">
        <f aca="false">IF(AI243="","",AI243-AJ243)</f>
        <v/>
      </c>
      <c r="AL243" s="25" t="str">
        <f aca="false">IF(AA243="","",IF(AA243&lt;0,N(AL242)+1,0))</f>
        <v/>
      </c>
      <c r="AM243" s="37" t="str">
        <f aca="false">IF(B243="","",B243-WEEKDAY(B243,2)+1)</f>
        <v/>
      </c>
    </row>
    <row r="244" customFormat="false" ht="15" hidden="false" customHeight="false" outlineLevel="0" collapsed="false">
      <c r="A244" s="25" t="str">
        <f aca="false">IF(B244="","",ROW()-4)</f>
        <v/>
      </c>
      <c r="B244" s="26"/>
      <c r="C244" s="27" t="str">
        <f aca="false">IF(B244="","",CHOOSE(WEEKDAY(B244,2),"Lundi","Mardi","Mercredi","Jeudi","Vendredi","Samedi","Dimanche"))</f>
        <v/>
      </c>
      <c r="D244" s="28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5" t="str">
        <f aca="false">IF(B244="","",OR(AND(H244="Achat",I244="Haussier"),AND(H244="Vente",I244="Baissier"))*1+OR(AND(H244="Achat",J244="Discount"),AND(H244="Vente",J244="Premium"))*1+AND(K244&lt;&gt;"",K244&lt;&gt;"Aucune")*1+OR(L244="CHoCH",L244="BOS")*1+(M244="Oui")*1+OR(G244="Londres",G244="New York")*1+(O244="Non")*1)</f>
        <v/>
      </c>
      <c r="Q244" s="27" t="str">
        <f aca="false">IF(P244="","",IF(P244=7,"A+",IF(P244&gt;=5,"B","C")))</f>
        <v/>
      </c>
      <c r="R244" s="29"/>
      <c r="S244" s="29"/>
      <c r="T244" s="27" t="str">
        <f aca="false">IF(OR(R244="",S244=""),"",R244+(R244-S244)*Paramètres!$B$6)</f>
        <v/>
      </c>
      <c r="U244" s="29"/>
      <c r="V244" s="27" t="str">
        <f aca="false">IF(OR(R244="",S244=""),"",ABS(R244-S244))</f>
        <v/>
      </c>
      <c r="W244" s="30" t="str">
        <f aca="false">IF(OR(U244="",V244="",N(V244)=0),"",ABS(U244-R244)/V244)</f>
        <v/>
      </c>
      <c r="X244" s="31"/>
      <c r="Y244" s="29"/>
      <c r="Z244" s="32"/>
      <c r="AA244" s="33" t="str">
        <f aca="false">IF(Y244="","",IF(Y244="Stop",-1,IF(Y244="BE",0,IF(Y244="TP1 + BE",Paramètres!$B$7*Paramètres!$B$6,IF(Y244="TP1 (100 %)",Paramètres!$B$6,IF(Y244="TP2",Paramètres!$B$7*Paramètres!$B$6+(1-Paramètres!$B$7)*N(W244),IF(Y244="Sortie manuelle",N(Z244),"")))))))</f>
        <v/>
      </c>
      <c r="AB244" s="34" t="str">
        <f aca="false">IF(AA244="","",AA244*IF(X244="",Paramètres!$B$5,X244))</f>
        <v/>
      </c>
      <c r="AC244" s="35" t="str">
        <f aca="false">IF(AB244="","",Paramètres!$B$4*(1+SUM(AB$5:AB244)))</f>
        <v/>
      </c>
      <c r="AD244" s="29"/>
      <c r="AE244" s="29"/>
      <c r="AF244" s="29"/>
      <c r="AG244" s="36"/>
      <c r="AH244" s="36"/>
      <c r="AI244" s="33" t="str">
        <f aca="false">IF(AA244="","",SUM(AA$5:AA244))</f>
        <v/>
      </c>
      <c r="AJ244" s="33" t="str">
        <f aca="false">IF(AI244="","",MAX(AI244,MAX(AJ$5:AJ243),0))</f>
        <v/>
      </c>
      <c r="AK244" s="33" t="str">
        <f aca="false">IF(AI244="","",AI244-AJ244)</f>
        <v/>
      </c>
      <c r="AL244" s="25" t="str">
        <f aca="false">IF(AA244="","",IF(AA244&lt;0,N(AL243)+1,0))</f>
        <v/>
      </c>
      <c r="AM244" s="37" t="str">
        <f aca="false">IF(B244="","",B244-WEEKDAY(B244,2)+1)</f>
        <v/>
      </c>
    </row>
    <row r="245" customFormat="false" ht="15" hidden="false" customHeight="false" outlineLevel="0" collapsed="false">
      <c r="A245" s="25" t="str">
        <f aca="false">IF(B245="","",ROW()-4)</f>
        <v/>
      </c>
      <c r="B245" s="26"/>
      <c r="C245" s="27" t="str">
        <f aca="false">IF(B245="","",CHOOSE(WEEKDAY(B245,2),"Lundi","Mardi","Mercredi","Jeudi","Vendredi","Samedi","Dimanche"))</f>
        <v/>
      </c>
      <c r="D245" s="28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5" t="str">
        <f aca="false">IF(B245="","",OR(AND(H245="Achat",I245="Haussier"),AND(H245="Vente",I245="Baissier"))*1+OR(AND(H245="Achat",J245="Discount"),AND(H245="Vente",J245="Premium"))*1+AND(K245&lt;&gt;"",K245&lt;&gt;"Aucune")*1+OR(L245="CHoCH",L245="BOS")*1+(M245="Oui")*1+OR(G245="Londres",G245="New York")*1+(O245="Non")*1)</f>
        <v/>
      </c>
      <c r="Q245" s="27" t="str">
        <f aca="false">IF(P245="","",IF(P245=7,"A+",IF(P245&gt;=5,"B","C")))</f>
        <v/>
      </c>
      <c r="R245" s="29"/>
      <c r="S245" s="29"/>
      <c r="T245" s="27" t="str">
        <f aca="false">IF(OR(R245="",S245=""),"",R245+(R245-S245)*Paramètres!$B$6)</f>
        <v/>
      </c>
      <c r="U245" s="29"/>
      <c r="V245" s="27" t="str">
        <f aca="false">IF(OR(R245="",S245=""),"",ABS(R245-S245))</f>
        <v/>
      </c>
      <c r="W245" s="30" t="str">
        <f aca="false">IF(OR(U245="",V245="",N(V245)=0),"",ABS(U245-R245)/V245)</f>
        <v/>
      </c>
      <c r="X245" s="31"/>
      <c r="Y245" s="29"/>
      <c r="Z245" s="32"/>
      <c r="AA245" s="33" t="str">
        <f aca="false">IF(Y245="","",IF(Y245="Stop",-1,IF(Y245="BE",0,IF(Y245="TP1 + BE",Paramètres!$B$7*Paramètres!$B$6,IF(Y245="TP1 (100 %)",Paramètres!$B$6,IF(Y245="TP2",Paramètres!$B$7*Paramètres!$B$6+(1-Paramètres!$B$7)*N(W245),IF(Y245="Sortie manuelle",N(Z245),"")))))))</f>
        <v/>
      </c>
      <c r="AB245" s="34" t="str">
        <f aca="false">IF(AA245="","",AA245*IF(X245="",Paramètres!$B$5,X245))</f>
        <v/>
      </c>
      <c r="AC245" s="35" t="str">
        <f aca="false">IF(AB245="","",Paramètres!$B$4*(1+SUM(AB$5:AB245)))</f>
        <v/>
      </c>
      <c r="AD245" s="29"/>
      <c r="AE245" s="29"/>
      <c r="AF245" s="29"/>
      <c r="AG245" s="36"/>
      <c r="AH245" s="36"/>
      <c r="AI245" s="33" t="str">
        <f aca="false">IF(AA245="","",SUM(AA$5:AA245))</f>
        <v/>
      </c>
      <c r="AJ245" s="33" t="str">
        <f aca="false">IF(AI245="","",MAX(AI245,MAX(AJ$5:AJ244),0))</f>
        <v/>
      </c>
      <c r="AK245" s="33" t="str">
        <f aca="false">IF(AI245="","",AI245-AJ245)</f>
        <v/>
      </c>
      <c r="AL245" s="25" t="str">
        <f aca="false">IF(AA245="","",IF(AA245&lt;0,N(AL244)+1,0))</f>
        <v/>
      </c>
      <c r="AM245" s="37" t="str">
        <f aca="false">IF(B245="","",B245-WEEKDAY(B245,2)+1)</f>
        <v/>
      </c>
    </row>
    <row r="246" customFormat="false" ht="15" hidden="false" customHeight="false" outlineLevel="0" collapsed="false">
      <c r="A246" s="25" t="str">
        <f aca="false">IF(B246="","",ROW()-4)</f>
        <v/>
      </c>
      <c r="B246" s="26"/>
      <c r="C246" s="27" t="str">
        <f aca="false">IF(B246="","",CHOOSE(WEEKDAY(B246,2),"Lundi","Mardi","Mercredi","Jeudi","Vendredi","Samedi","Dimanche"))</f>
        <v/>
      </c>
      <c r="D246" s="28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5" t="str">
        <f aca="false">IF(B246="","",OR(AND(H246="Achat",I246="Haussier"),AND(H246="Vente",I246="Baissier"))*1+OR(AND(H246="Achat",J246="Discount"),AND(H246="Vente",J246="Premium"))*1+AND(K246&lt;&gt;"",K246&lt;&gt;"Aucune")*1+OR(L246="CHoCH",L246="BOS")*1+(M246="Oui")*1+OR(G246="Londres",G246="New York")*1+(O246="Non")*1)</f>
        <v/>
      </c>
      <c r="Q246" s="27" t="str">
        <f aca="false">IF(P246="","",IF(P246=7,"A+",IF(P246&gt;=5,"B","C")))</f>
        <v/>
      </c>
      <c r="R246" s="29"/>
      <c r="S246" s="29"/>
      <c r="T246" s="27" t="str">
        <f aca="false">IF(OR(R246="",S246=""),"",R246+(R246-S246)*Paramètres!$B$6)</f>
        <v/>
      </c>
      <c r="U246" s="29"/>
      <c r="V246" s="27" t="str">
        <f aca="false">IF(OR(R246="",S246=""),"",ABS(R246-S246))</f>
        <v/>
      </c>
      <c r="W246" s="30" t="str">
        <f aca="false">IF(OR(U246="",V246="",N(V246)=0),"",ABS(U246-R246)/V246)</f>
        <v/>
      </c>
      <c r="X246" s="31"/>
      <c r="Y246" s="29"/>
      <c r="Z246" s="32"/>
      <c r="AA246" s="33" t="str">
        <f aca="false">IF(Y246="","",IF(Y246="Stop",-1,IF(Y246="BE",0,IF(Y246="TP1 + BE",Paramètres!$B$7*Paramètres!$B$6,IF(Y246="TP1 (100 %)",Paramètres!$B$6,IF(Y246="TP2",Paramètres!$B$7*Paramètres!$B$6+(1-Paramètres!$B$7)*N(W246),IF(Y246="Sortie manuelle",N(Z246),"")))))))</f>
        <v/>
      </c>
      <c r="AB246" s="34" t="str">
        <f aca="false">IF(AA246="","",AA246*IF(X246="",Paramètres!$B$5,X246))</f>
        <v/>
      </c>
      <c r="AC246" s="35" t="str">
        <f aca="false">IF(AB246="","",Paramètres!$B$4*(1+SUM(AB$5:AB246)))</f>
        <v/>
      </c>
      <c r="AD246" s="29"/>
      <c r="AE246" s="29"/>
      <c r="AF246" s="29"/>
      <c r="AG246" s="36"/>
      <c r="AH246" s="36"/>
      <c r="AI246" s="33" t="str">
        <f aca="false">IF(AA246="","",SUM(AA$5:AA246))</f>
        <v/>
      </c>
      <c r="AJ246" s="33" t="str">
        <f aca="false">IF(AI246="","",MAX(AI246,MAX(AJ$5:AJ245),0))</f>
        <v/>
      </c>
      <c r="AK246" s="33" t="str">
        <f aca="false">IF(AI246="","",AI246-AJ246)</f>
        <v/>
      </c>
      <c r="AL246" s="25" t="str">
        <f aca="false">IF(AA246="","",IF(AA246&lt;0,N(AL245)+1,0))</f>
        <v/>
      </c>
      <c r="AM246" s="37" t="str">
        <f aca="false">IF(B246="","",B246-WEEKDAY(B246,2)+1)</f>
        <v/>
      </c>
    </row>
    <row r="247" customFormat="false" ht="15" hidden="false" customHeight="false" outlineLevel="0" collapsed="false">
      <c r="A247" s="25" t="str">
        <f aca="false">IF(B247="","",ROW()-4)</f>
        <v/>
      </c>
      <c r="B247" s="26"/>
      <c r="C247" s="27" t="str">
        <f aca="false">IF(B247="","",CHOOSE(WEEKDAY(B247,2),"Lundi","Mardi","Mercredi","Jeudi","Vendredi","Samedi","Dimanche"))</f>
        <v/>
      </c>
      <c r="D247" s="28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5" t="str">
        <f aca="false">IF(B247="","",OR(AND(H247="Achat",I247="Haussier"),AND(H247="Vente",I247="Baissier"))*1+OR(AND(H247="Achat",J247="Discount"),AND(H247="Vente",J247="Premium"))*1+AND(K247&lt;&gt;"",K247&lt;&gt;"Aucune")*1+OR(L247="CHoCH",L247="BOS")*1+(M247="Oui")*1+OR(G247="Londres",G247="New York")*1+(O247="Non")*1)</f>
        <v/>
      </c>
      <c r="Q247" s="27" t="str">
        <f aca="false">IF(P247="","",IF(P247=7,"A+",IF(P247&gt;=5,"B","C")))</f>
        <v/>
      </c>
      <c r="R247" s="29"/>
      <c r="S247" s="29"/>
      <c r="T247" s="27" t="str">
        <f aca="false">IF(OR(R247="",S247=""),"",R247+(R247-S247)*Paramètres!$B$6)</f>
        <v/>
      </c>
      <c r="U247" s="29"/>
      <c r="V247" s="27" t="str">
        <f aca="false">IF(OR(R247="",S247=""),"",ABS(R247-S247))</f>
        <v/>
      </c>
      <c r="W247" s="30" t="str">
        <f aca="false">IF(OR(U247="",V247="",N(V247)=0),"",ABS(U247-R247)/V247)</f>
        <v/>
      </c>
      <c r="X247" s="31"/>
      <c r="Y247" s="29"/>
      <c r="Z247" s="32"/>
      <c r="AA247" s="33" t="str">
        <f aca="false">IF(Y247="","",IF(Y247="Stop",-1,IF(Y247="BE",0,IF(Y247="TP1 + BE",Paramètres!$B$7*Paramètres!$B$6,IF(Y247="TP1 (100 %)",Paramètres!$B$6,IF(Y247="TP2",Paramètres!$B$7*Paramètres!$B$6+(1-Paramètres!$B$7)*N(W247),IF(Y247="Sortie manuelle",N(Z247),"")))))))</f>
        <v/>
      </c>
      <c r="AB247" s="34" t="str">
        <f aca="false">IF(AA247="","",AA247*IF(X247="",Paramètres!$B$5,X247))</f>
        <v/>
      </c>
      <c r="AC247" s="35" t="str">
        <f aca="false">IF(AB247="","",Paramètres!$B$4*(1+SUM(AB$5:AB247)))</f>
        <v/>
      </c>
      <c r="AD247" s="29"/>
      <c r="AE247" s="29"/>
      <c r="AF247" s="29"/>
      <c r="AG247" s="36"/>
      <c r="AH247" s="36"/>
      <c r="AI247" s="33" t="str">
        <f aca="false">IF(AA247="","",SUM(AA$5:AA247))</f>
        <v/>
      </c>
      <c r="AJ247" s="33" t="str">
        <f aca="false">IF(AI247="","",MAX(AI247,MAX(AJ$5:AJ246),0))</f>
        <v/>
      </c>
      <c r="AK247" s="33" t="str">
        <f aca="false">IF(AI247="","",AI247-AJ247)</f>
        <v/>
      </c>
      <c r="AL247" s="25" t="str">
        <f aca="false">IF(AA247="","",IF(AA247&lt;0,N(AL246)+1,0))</f>
        <v/>
      </c>
      <c r="AM247" s="37" t="str">
        <f aca="false">IF(B247="","",B247-WEEKDAY(B247,2)+1)</f>
        <v/>
      </c>
    </row>
    <row r="248" customFormat="false" ht="15" hidden="false" customHeight="false" outlineLevel="0" collapsed="false">
      <c r="A248" s="25" t="str">
        <f aca="false">IF(B248="","",ROW()-4)</f>
        <v/>
      </c>
      <c r="B248" s="26"/>
      <c r="C248" s="27" t="str">
        <f aca="false">IF(B248="","",CHOOSE(WEEKDAY(B248,2),"Lundi","Mardi","Mercredi","Jeudi","Vendredi","Samedi","Dimanche"))</f>
        <v/>
      </c>
      <c r="D248" s="28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5" t="str">
        <f aca="false">IF(B248="","",OR(AND(H248="Achat",I248="Haussier"),AND(H248="Vente",I248="Baissier"))*1+OR(AND(H248="Achat",J248="Discount"),AND(H248="Vente",J248="Premium"))*1+AND(K248&lt;&gt;"",K248&lt;&gt;"Aucune")*1+OR(L248="CHoCH",L248="BOS")*1+(M248="Oui")*1+OR(G248="Londres",G248="New York")*1+(O248="Non")*1)</f>
        <v/>
      </c>
      <c r="Q248" s="27" t="str">
        <f aca="false">IF(P248="","",IF(P248=7,"A+",IF(P248&gt;=5,"B","C")))</f>
        <v/>
      </c>
      <c r="R248" s="29"/>
      <c r="S248" s="29"/>
      <c r="T248" s="27" t="str">
        <f aca="false">IF(OR(R248="",S248=""),"",R248+(R248-S248)*Paramètres!$B$6)</f>
        <v/>
      </c>
      <c r="U248" s="29"/>
      <c r="V248" s="27" t="str">
        <f aca="false">IF(OR(R248="",S248=""),"",ABS(R248-S248))</f>
        <v/>
      </c>
      <c r="W248" s="30" t="str">
        <f aca="false">IF(OR(U248="",V248="",N(V248)=0),"",ABS(U248-R248)/V248)</f>
        <v/>
      </c>
      <c r="X248" s="31"/>
      <c r="Y248" s="29"/>
      <c r="Z248" s="32"/>
      <c r="AA248" s="33" t="str">
        <f aca="false">IF(Y248="","",IF(Y248="Stop",-1,IF(Y248="BE",0,IF(Y248="TP1 + BE",Paramètres!$B$7*Paramètres!$B$6,IF(Y248="TP1 (100 %)",Paramètres!$B$6,IF(Y248="TP2",Paramètres!$B$7*Paramètres!$B$6+(1-Paramètres!$B$7)*N(W248),IF(Y248="Sortie manuelle",N(Z248),"")))))))</f>
        <v/>
      </c>
      <c r="AB248" s="34" t="str">
        <f aca="false">IF(AA248="","",AA248*IF(X248="",Paramètres!$B$5,X248))</f>
        <v/>
      </c>
      <c r="AC248" s="35" t="str">
        <f aca="false">IF(AB248="","",Paramètres!$B$4*(1+SUM(AB$5:AB248)))</f>
        <v/>
      </c>
      <c r="AD248" s="29"/>
      <c r="AE248" s="29"/>
      <c r="AF248" s="29"/>
      <c r="AG248" s="36"/>
      <c r="AH248" s="36"/>
      <c r="AI248" s="33" t="str">
        <f aca="false">IF(AA248="","",SUM(AA$5:AA248))</f>
        <v/>
      </c>
      <c r="AJ248" s="33" t="str">
        <f aca="false">IF(AI248="","",MAX(AI248,MAX(AJ$5:AJ247),0))</f>
        <v/>
      </c>
      <c r="AK248" s="33" t="str">
        <f aca="false">IF(AI248="","",AI248-AJ248)</f>
        <v/>
      </c>
      <c r="AL248" s="25" t="str">
        <f aca="false">IF(AA248="","",IF(AA248&lt;0,N(AL247)+1,0))</f>
        <v/>
      </c>
      <c r="AM248" s="37" t="str">
        <f aca="false">IF(B248="","",B248-WEEKDAY(B248,2)+1)</f>
        <v/>
      </c>
    </row>
    <row r="249" customFormat="false" ht="15" hidden="false" customHeight="false" outlineLevel="0" collapsed="false">
      <c r="A249" s="25" t="str">
        <f aca="false">IF(B249="","",ROW()-4)</f>
        <v/>
      </c>
      <c r="B249" s="26"/>
      <c r="C249" s="27" t="str">
        <f aca="false">IF(B249="","",CHOOSE(WEEKDAY(B249,2),"Lundi","Mardi","Mercredi","Jeudi","Vendredi","Samedi","Dimanche"))</f>
        <v/>
      </c>
      <c r="D249" s="28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5" t="str">
        <f aca="false">IF(B249="","",OR(AND(H249="Achat",I249="Haussier"),AND(H249="Vente",I249="Baissier"))*1+OR(AND(H249="Achat",J249="Discount"),AND(H249="Vente",J249="Premium"))*1+AND(K249&lt;&gt;"",K249&lt;&gt;"Aucune")*1+OR(L249="CHoCH",L249="BOS")*1+(M249="Oui")*1+OR(G249="Londres",G249="New York")*1+(O249="Non")*1)</f>
        <v/>
      </c>
      <c r="Q249" s="27" t="str">
        <f aca="false">IF(P249="","",IF(P249=7,"A+",IF(P249&gt;=5,"B","C")))</f>
        <v/>
      </c>
      <c r="R249" s="29"/>
      <c r="S249" s="29"/>
      <c r="T249" s="27" t="str">
        <f aca="false">IF(OR(R249="",S249=""),"",R249+(R249-S249)*Paramètres!$B$6)</f>
        <v/>
      </c>
      <c r="U249" s="29"/>
      <c r="V249" s="27" t="str">
        <f aca="false">IF(OR(R249="",S249=""),"",ABS(R249-S249))</f>
        <v/>
      </c>
      <c r="W249" s="30" t="str">
        <f aca="false">IF(OR(U249="",V249="",N(V249)=0),"",ABS(U249-R249)/V249)</f>
        <v/>
      </c>
      <c r="X249" s="31"/>
      <c r="Y249" s="29"/>
      <c r="Z249" s="32"/>
      <c r="AA249" s="33" t="str">
        <f aca="false">IF(Y249="","",IF(Y249="Stop",-1,IF(Y249="BE",0,IF(Y249="TP1 + BE",Paramètres!$B$7*Paramètres!$B$6,IF(Y249="TP1 (100 %)",Paramètres!$B$6,IF(Y249="TP2",Paramètres!$B$7*Paramètres!$B$6+(1-Paramètres!$B$7)*N(W249),IF(Y249="Sortie manuelle",N(Z249),"")))))))</f>
        <v/>
      </c>
      <c r="AB249" s="34" t="str">
        <f aca="false">IF(AA249="","",AA249*IF(X249="",Paramètres!$B$5,X249))</f>
        <v/>
      </c>
      <c r="AC249" s="35" t="str">
        <f aca="false">IF(AB249="","",Paramètres!$B$4*(1+SUM(AB$5:AB249)))</f>
        <v/>
      </c>
      <c r="AD249" s="29"/>
      <c r="AE249" s="29"/>
      <c r="AF249" s="29"/>
      <c r="AG249" s="36"/>
      <c r="AH249" s="36"/>
      <c r="AI249" s="33" t="str">
        <f aca="false">IF(AA249="","",SUM(AA$5:AA249))</f>
        <v/>
      </c>
      <c r="AJ249" s="33" t="str">
        <f aca="false">IF(AI249="","",MAX(AI249,MAX(AJ$5:AJ248),0))</f>
        <v/>
      </c>
      <c r="AK249" s="33" t="str">
        <f aca="false">IF(AI249="","",AI249-AJ249)</f>
        <v/>
      </c>
      <c r="AL249" s="25" t="str">
        <f aca="false">IF(AA249="","",IF(AA249&lt;0,N(AL248)+1,0))</f>
        <v/>
      </c>
      <c r="AM249" s="37" t="str">
        <f aca="false">IF(B249="","",B249-WEEKDAY(B249,2)+1)</f>
        <v/>
      </c>
    </row>
    <row r="250" customFormat="false" ht="15" hidden="false" customHeight="false" outlineLevel="0" collapsed="false">
      <c r="A250" s="25" t="str">
        <f aca="false">IF(B250="","",ROW()-4)</f>
        <v/>
      </c>
      <c r="B250" s="26"/>
      <c r="C250" s="27" t="str">
        <f aca="false">IF(B250="","",CHOOSE(WEEKDAY(B250,2),"Lundi","Mardi","Mercredi","Jeudi","Vendredi","Samedi","Dimanche"))</f>
        <v/>
      </c>
      <c r="D250" s="28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5" t="str">
        <f aca="false">IF(B250="","",OR(AND(H250="Achat",I250="Haussier"),AND(H250="Vente",I250="Baissier"))*1+OR(AND(H250="Achat",J250="Discount"),AND(H250="Vente",J250="Premium"))*1+AND(K250&lt;&gt;"",K250&lt;&gt;"Aucune")*1+OR(L250="CHoCH",L250="BOS")*1+(M250="Oui")*1+OR(G250="Londres",G250="New York")*1+(O250="Non")*1)</f>
        <v/>
      </c>
      <c r="Q250" s="27" t="str">
        <f aca="false">IF(P250="","",IF(P250=7,"A+",IF(P250&gt;=5,"B","C")))</f>
        <v/>
      </c>
      <c r="R250" s="29"/>
      <c r="S250" s="29"/>
      <c r="T250" s="27" t="str">
        <f aca="false">IF(OR(R250="",S250=""),"",R250+(R250-S250)*Paramètres!$B$6)</f>
        <v/>
      </c>
      <c r="U250" s="29"/>
      <c r="V250" s="27" t="str">
        <f aca="false">IF(OR(R250="",S250=""),"",ABS(R250-S250))</f>
        <v/>
      </c>
      <c r="W250" s="30" t="str">
        <f aca="false">IF(OR(U250="",V250="",N(V250)=0),"",ABS(U250-R250)/V250)</f>
        <v/>
      </c>
      <c r="X250" s="31"/>
      <c r="Y250" s="29"/>
      <c r="Z250" s="32"/>
      <c r="AA250" s="33" t="str">
        <f aca="false">IF(Y250="","",IF(Y250="Stop",-1,IF(Y250="BE",0,IF(Y250="TP1 + BE",Paramètres!$B$7*Paramètres!$B$6,IF(Y250="TP1 (100 %)",Paramètres!$B$6,IF(Y250="TP2",Paramètres!$B$7*Paramètres!$B$6+(1-Paramètres!$B$7)*N(W250),IF(Y250="Sortie manuelle",N(Z250),"")))))))</f>
        <v/>
      </c>
      <c r="AB250" s="34" t="str">
        <f aca="false">IF(AA250="","",AA250*IF(X250="",Paramètres!$B$5,X250))</f>
        <v/>
      </c>
      <c r="AC250" s="35" t="str">
        <f aca="false">IF(AB250="","",Paramètres!$B$4*(1+SUM(AB$5:AB250)))</f>
        <v/>
      </c>
      <c r="AD250" s="29"/>
      <c r="AE250" s="29"/>
      <c r="AF250" s="29"/>
      <c r="AG250" s="36"/>
      <c r="AH250" s="36"/>
      <c r="AI250" s="33" t="str">
        <f aca="false">IF(AA250="","",SUM(AA$5:AA250))</f>
        <v/>
      </c>
      <c r="AJ250" s="33" t="str">
        <f aca="false">IF(AI250="","",MAX(AI250,MAX(AJ$5:AJ249),0))</f>
        <v/>
      </c>
      <c r="AK250" s="33" t="str">
        <f aca="false">IF(AI250="","",AI250-AJ250)</f>
        <v/>
      </c>
      <c r="AL250" s="25" t="str">
        <f aca="false">IF(AA250="","",IF(AA250&lt;0,N(AL249)+1,0))</f>
        <v/>
      </c>
      <c r="AM250" s="37" t="str">
        <f aca="false">IF(B250="","",B250-WEEKDAY(B250,2)+1)</f>
        <v/>
      </c>
    </row>
    <row r="251" customFormat="false" ht="15" hidden="false" customHeight="false" outlineLevel="0" collapsed="false">
      <c r="A251" s="25" t="str">
        <f aca="false">IF(B251="","",ROW()-4)</f>
        <v/>
      </c>
      <c r="B251" s="26"/>
      <c r="C251" s="27" t="str">
        <f aca="false">IF(B251="","",CHOOSE(WEEKDAY(B251,2),"Lundi","Mardi","Mercredi","Jeudi","Vendredi","Samedi","Dimanche"))</f>
        <v/>
      </c>
      <c r="D251" s="28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5" t="str">
        <f aca="false">IF(B251="","",OR(AND(H251="Achat",I251="Haussier"),AND(H251="Vente",I251="Baissier"))*1+OR(AND(H251="Achat",J251="Discount"),AND(H251="Vente",J251="Premium"))*1+AND(K251&lt;&gt;"",K251&lt;&gt;"Aucune")*1+OR(L251="CHoCH",L251="BOS")*1+(M251="Oui")*1+OR(G251="Londres",G251="New York")*1+(O251="Non")*1)</f>
        <v/>
      </c>
      <c r="Q251" s="27" t="str">
        <f aca="false">IF(P251="","",IF(P251=7,"A+",IF(P251&gt;=5,"B","C")))</f>
        <v/>
      </c>
      <c r="R251" s="29"/>
      <c r="S251" s="29"/>
      <c r="T251" s="27" t="str">
        <f aca="false">IF(OR(R251="",S251=""),"",R251+(R251-S251)*Paramètres!$B$6)</f>
        <v/>
      </c>
      <c r="U251" s="29"/>
      <c r="V251" s="27" t="str">
        <f aca="false">IF(OR(R251="",S251=""),"",ABS(R251-S251))</f>
        <v/>
      </c>
      <c r="W251" s="30" t="str">
        <f aca="false">IF(OR(U251="",V251="",N(V251)=0),"",ABS(U251-R251)/V251)</f>
        <v/>
      </c>
      <c r="X251" s="31"/>
      <c r="Y251" s="29"/>
      <c r="Z251" s="32"/>
      <c r="AA251" s="33" t="str">
        <f aca="false">IF(Y251="","",IF(Y251="Stop",-1,IF(Y251="BE",0,IF(Y251="TP1 + BE",Paramètres!$B$7*Paramètres!$B$6,IF(Y251="TP1 (100 %)",Paramètres!$B$6,IF(Y251="TP2",Paramètres!$B$7*Paramètres!$B$6+(1-Paramètres!$B$7)*N(W251),IF(Y251="Sortie manuelle",N(Z251),"")))))))</f>
        <v/>
      </c>
      <c r="AB251" s="34" t="str">
        <f aca="false">IF(AA251="","",AA251*IF(X251="",Paramètres!$B$5,X251))</f>
        <v/>
      </c>
      <c r="AC251" s="35" t="str">
        <f aca="false">IF(AB251="","",Paramètres!$B$4*(1+SUM(AB$5:AB251)))</f>
        <v/>
      </c>
      <c r="AD251" s="29"/>
      <c r="AE251" s="29"/>
      <c r="AF251" s="29"/>
      <c r="AG251" s="36"/>
      <c r="AH251" s="36"/>
      <c r="AI251" s="33" t="str">
        <f aca="false">IF(AA251="","",SUM(AA$5:AA251))</f>
        <v/>
      </c>
      <c r="AJ251" s="33" t="str">
        <f aca="false">IF(AI251="","",MAX(AI251,MAX(AJ$5:AJ250),0))</f>
        <v/>
      </c>
      <c r="AK251" s="33" t="str">
        <f aca="false">IF(AI251="","",AI251-AJ251)</f>
        <v/>
      </c>
      <c r="AL251" s="25" t="str">
        <f aca="false">IF(AA251="","",IF(AA251&lt;0,N(AL250)+1,0))</f>
        <v/>
      </c>
      <c r="AM251" s="37" t="str">
        <f aca="false">IF(B251="","",B251-WEEKDAY(B251,2)+1)</f>
        <v/>
      </c>
    </row>
    <row r="252" customFormat="false" ht="15" hidden="false" customHeight="false" outlineLevel="0" collapsed="false">
      <c r="A252" s="25" t="str">
        <f aca="false">IF(B252="","",ROW()-4)</f>
        <v/>
      </c>
      <c r="B252" s="26"/>
      <c r="C252" s="27" t="str">
        <f aca="false">IF(B252="","",CHOOSE(WEEKDAY(B252,2),"Lundi","Mardi","Mercredi","Jeudi","Vendredi","Samedi","Dimanche"))</f>
        <v/>
      </c>
      <c r="D252" s="28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5" t="str">
        <f aca="false">IF(B252="","",OR(AND(H252="Achat",I252="Haussier"),AND(H252="Vente",I252="Baissier"))*1+OR(AND(H252="Achat",J252="Discount"),AND(H252="Vente",J252="Premium"))*1+AND(K252&lt;&gt;"",K252&lt;&gt;"Aucune")*1+OR(L252="CHoCH",L252="BOS")*1+(M252="Oui")*1+OR(G252="Londres",G252="New York")*1+(O252="Non")*1)</f>
        <v/>
      </c>
      <c r="Q252" s="27" t="str">
        <f aca="false">IF(P252="","",IF(P252=7,"A+",IF(P252&gt;=5,"B","C")))</f>
        <v/>
      </c>
      <c r="R252" s="29"/>
      <c r="S252" s="29"/>
      <c r="T252" s="27" t="str">
        <f aca="false">IF(OR(R252="",S252=""),"",R252+(R252-S252)*Paramètres!$B$6)</f>
        <v/>
      </c>
      <c r="U252" s="29"/>
      <c r="V252" s="27" t="str">
        <f aca="false">IF(OR(R252="",S252=""),"",ABS(R252-S252))</f>
        <v/>
      </c>
      <c r="W252" s="30" t="str">
        <f aca="false">IF(OR(U252="",V252="",N(V252)=0),"",ABS(U252-R252)/V252)</f>
        <v/>
      </c>
      <c r="X252" s="31"/>
      <c r="Y252" s="29"/>
      <c r="Z252" s="32"/>
      <c r="AA252" s="33" t="str">
        <f aca="false">IF(Y252="","",IF(Y252="Stop",-1,IF(Y252="BE",0,IF(Y252="TP1 + BE",Paramètres!$B$7*Paramètres!$B$6,IF(Y252="TP1 (100 %)",Paramètres!$B$6,IF(Y252="TP2",Paramètres!$B$7*Paramètres!$B$6+(1-Paramètres!$B$7)*N(W252),IF(Y252="Sortie manuelle",N(Z252),"")))))))</f>
        <v/>
      </c>
      <c r="AB252" s="34" t="str">
        <f aca="false">IF(AA252="","",AA252*IF(X252="",Paramètres!$B$5,X252))</f>
        <v/>
      </c>
      <c r="AC252" s="35" t="str">
        <f aca="false">IF(AB252="","",Paramètres!$B$4*(1+SUM(AB$5:AB252)))</f>
        <v/>
      </c>
      <c r="AD252" s="29"/>
      <c r="AE252" s="29"/>
      <c r="AF252" s="29"/>
      <c r="AG252" s="36"/>
      <c r="AH252" s="36"/>
      <c r="AI252" s="33" t="str">
        <f aca="false">IF(AA252="","",SUM(AA$5:AA252))</f>
        <v/>
      </c>
      <c r="AJ252" s="33" t="str">
        <f aca="false">IF(AI252="","",MAX(AI252,MAX(AJ$5:AJ251),0))</f>
        <v/>
      </c>
      <c r="AK252" s="33" t="str">
        <f aca="false">IF(AI252="","",AI252-AJ252)</f>
        <v/>
      </c>
      <c r="AL252" s="25" t="str">
        <f aca="false">IF(AA252="","",IF(AA252&lt;0,N(AL251)+1,0))</f>
        <v/>
      </c>
      <c r="AM252" s="37" t="str">
        <f aca="false">IF(B252="","",B252-WEEKDAY(B252,2)+1)</f>
        <v/>
      </c>
    </row>
    <row r="253" customFormat="false" ht="15" hidden="false" customHeight="false" outlineLevel="0" collapsed="false">
      <c r="A253" s="25" t="str">
        <f aca="false">IF(B253="","",ROW()-4)</f>
        <v/>
      </c>
      <c r="B253" s="26"/>
      <c r="C253" s="27" t="str">
        <f aca="false">IF(B253="","",CHOOSE(WEEKDAY(B253,2),"Lundi","Mardi","Mercredi","Jeudi","Vendredi","Samedi","Dimanche"))</f>
        <v/>
      </c>
      <c r="D253" s="28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5" t="str">
        <f aca="false">IF(B253="","",OR(AND(H253="Achat",I253="Haussier"),AND(H253="Vente",I253="Baissier"))*1+OR(AND(H253="Achat",J253="Discount"),AND(H253="Vente",J253="Premium"))*1+AND(K253&lt;&gt;"",K253&lt;&gt;"Aucune")*1+OR(L253="CHoCH",L253="BOS")*1+(M253="Oui")*1+OR(G253="Londres",G253="New York")*1+(O253="Non")*1)</f>
        <v/>
      </c>
      <c r="Q253" s="27" t="str">
        <f aca="false">IF(P253="","",IF(P253=7,"A+",IF(P253&gt;=5,"B","C")))</f>
        <v/>
      </c>
      <c r="R253" s="29"/>
      <c r="S253" s="29"/>
      <c r="T253" s="27" t="str">
        <f aca="false">IF(OR(R253="",S253=""),"",R253+(R253-S253)*Paramètres!$B$6)</f>
        <v/>
      </c>
      <c r="U253" s="29"/>
      <c r="V253" s="27" t="str">
        <f aca="false">IF(OR(R253="",S253=""),"",ABS(R253-S253))</f>
        <v/>
      </c>
      <c r="W253" s="30" t="str">
        <f aca="false">IF(OR(U253="",V253="",N(V253)=0),"",ABS(U253-R253)/V253)</f>
        <v/>
      </c>
      <c r="X253" s="31"/>
      <c r="Y253" s="29"/>
      <c r="Z253" s="32"/>
      <c r="AA253" s="33" t="str">
        <f aca="false">IF(Y253="","",IF(Y253="Stop",-1,IF(Y253="BE",0,IF(Y253="TP1 + BE",Paramètres!$B$7*Paramètres!$B$6,IF(Y253="TP1 (100 %)",Paramètres!$B$6,IF(Y253="TP2",Paramètres!$B$7*Paramètres!$B$6+(1-Paramètres!$B$7)*N(W253),IF(Y253="Sortie manuelle",N(Z253),"")))))))</f>
        <v/>
      </c>
      <c r="AB253" s="34" t="str">
        <f aca="false">IF(AA253="","",AA253*IF(X253="",Paramètres!$B$5,X253))</f>
        <v/>
      </c>
      <c r="AC253" s="35" t="str">
        <f aca="false">IF(AB253="","",Paramètres!$B$4*(1+SUM(AB$5:AB253)))</f>
        <v/>
      </c>
      <c r="AD253" s="29"/>
      <c r="AE253" s="29"/>
      <c r="AF253" s="29"/>
      <c r="AG253" s="36"/>
      <c r="AH253" s="36"/>
      <c r="AI253" s="33" t="str">
        <f aca="false">IF(AA253="","",SUM(AA$5:AA253))</f>
        <v/>
      </c>
      <c r="AJ253" s="33" t="str">
        <f aca="false">IF(AI253="","",MAX(AI253,MAX(AJ$5:AJ252),0))</f>
        <v/>
      </c>
      <c r="AK253" s="33" t="str">
        <f aca="false">IF(AI253="","",AI253-AJ253)</f>
        <v/>
      </c>
      <c r="AL253" s="25" t="str">
        <f aca="false">IF(AA253="","",IF(AA253&lt;0,N(AL252)+1,0))</f>
        <v/>
      </c>
      <c r="AM253" s="37" t="str">
        <f aca="false">IF(B253="","",B253-WEEKDAY(B253,2)+1)</f>
        <v/>
      </c>
    </row>
    <row r="254" customFormat="false" ht="15" hidden="false" customHeight="false" outlineLevel="0" collapsed="false">
      <c r="A254" s="25" t="str">
        <f aca="false">IF(B254="","",ROW()-4)</f>
        <v/>
      </c>
      <c r="B254" s="26"/>
      <c r="C254" s="27" t="str">
        <f aca="false">IF(B254="","",CHOOSE(WEEKDAY(B254,2),"Lundi","Mardi","Mercredi","Jeudi","Vendredi","Samedi","Dimanche"))</f>
        <v/>
      </c>
      <c r="D254" s="28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5" t="str">
        <f aca="false">IF(B254="","",OR(AND(H254="Achat",I254="Haussier"),AND(H254="Vente",I254="Baissier"))*1+OR(AND(H254="Achat",J254="Discount"),AND(H254="Vente",J254="Premium"))*1+AND(K254&lt;&gt;"",K254&lt;&gt;"Aucune")*1+OR(L254="CHoCH",L254="BOS")*1+(M254="Oui")*1+OR(G254="Londres",G254="New York")*1+(O254="Non")*1)</f>
        <v/>
      </c>
      <c r="Q254" s="27" t="str">
        <f aca="false">IF(P254="","",IF(P254=7,"A+",IF(P254&gt;=5,"B","C")))</f>
        <v/>
      </c>
      <c r="R254" s="29"/>
      <c r="S254" s="29"/>
      <c r="T254" s="27" t="str">
        <f aca="false">IF(OR(R254="",S254=""),"",R254+(R254-S254)*Paramètres!$B$6)</f>
        <v/>
      </c>
      <c r="U254" s="29"/>
      <c r="V254" s="27" t="str">
        <f aca="false">IF(OR(R254="",S254=""),"",ABS(R254-S254))</f>
        <v/>
      </c>
      <c r="W254" s="30" t="str">
        <f aca="false">IF(OR(U254="",V254="",N(V254)=0),"",ABS(U254-R254)/V254)</f>
        <v/>
      </c>
      <c r="X254" s="31"/>
      <c r="Y254" s="29"/>
      <c r="Z254" s="32"/>
      <c r="AA254" s="33" t="str">
        <f aca="false">IF(Y254="","",IF(Y254="Stop",-1,IF(Y254="BE",0,IF(Y254="TP1 + BE",Paramètres!$B$7*Paramètres!$B$6,IF(Y254="TP1 (100 %)",Paramètres!$B$6,IF(Y254="TP2",Paramètres!$B$7*Paramètres!$B$6+(1-Paramètres!$B$7)*N(W254),IF(Y254="Sortie manuelle",N(Z254),"")))))))</f>
        <v/>
      </c>
      <c r="AB254" s="34" t="str">
        <f aca="false">IF(AA254="","",AA254*IF(X254="",Paramètres!$B$5,X254))</f>
        <v/>
      </c>
      <c r="AC254" s="35" t="str">
        <f aca="false">IF(AB254="","",Paramètres!$B$4*(1+SUM(AB$5:AB254)))</f>
        <v/>
      </c>
      <c r="AD254" s="29"/>
      <c r="AE254" s="29"/>
      <c r="AF254" s="29"/>
      <c r="AG254" s="36"/>
      <c r="AH254" s="36"/>
      <c r="AI254" s="33" t="str">
        <f aca="false">IF(AA254="","",SUM(AA$5:AA254))</f>
        <v/>
      </c>
      <c r="AJ254" s="33" t="str">
        <f aca="false">IF(AI254="","",MAX(AI254,MAX(AJ$5:AJ253),0))</f>
        <v/>
      </c>
      <c r="AK254" s="33" t="str">
        <f aca="false">IF(AI254="","",AI254-AJ254)</f>
        <v/>
      </c>
      <c r="AL254" s="25" t="str">
        <f aca="false">IF(AA254="","",IF(AA254&lt;0,N(AL253)+1,0))</f>
        <v/>
      </c>
      <c r="AM254" s="37" t="str">
        <f aca="false">IF(B254="","",B254-WEEKDAY(B254,2)+1)</f>
        <v/>
      </c>
    </row>
    <row r="255" customFormat="false" ht="15" hidden="false" customHeight="false" outlineLevel="0" collapsed="false">
      <c r="A255" s="25" t="str">
        <f aca="false">IF(B255="","",ROW()-4)</f>
        <v/>
      </c>
      <c r="B255" s="26"/>
      <c r="C255" s="27" t="str">
        <f aca="false">IF(B255="","",CHOOSE(WEEKDAY(B255,2),"Lundi","Mardi","Mercredi","Jeudi","Vendredi","Samedi","Dimanche"))</f>
        <v/>
      </c>
      <c r="D255" s="28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5" t="str">
        <f aca="false">IF(B255="","",OR(AND(H255="Achat",I255="Haussier"),AND(H255="Vente",I255="Baissier"))*1+OR(AND(H255="Achat",J255="Discount"),AND(H255="Vente",J255="Premium"))*1+AND(K255&lt;&gt;"",K255&lt;&gt;"Aucune")*1+OR(L255="CHoCH",L255="BOS")*1+(M255="Oui")*1+OR(G255="Londres",G255="New York")*1+(O255="Non")*1)</f>
        <v/>
      </c>
      <c r="Q255" s="27" t="str">
        <f aca="false">IF(P255="","",IF(P255=7,"A+",IF(P255&gt;=5,"B","C")))</f>
        <v/>
      </c>
      <c r="R255" s="29"/>
      <c r="S255" s="29"/>
      <c r="T255" s="27" t="str">
        <f aca="false">IF(OR(R255="",S255=""),"",R255+(R255-S255)*Paramètres!$B$6)</f>
        <v/>
      </c>
      <c r="U255" s="29"/>
      <c r="V255" s="27" t="str">
        <f aca="false">IF(OR(R255="",S255=""),"",ABS(R255-S255))</f>
        <v/>
      </c>
      <c r="W255" s="30" t="str">
        <f aca="false">IF(OR(U255="",V255="",N(V255)=0),"",ABS(U255-R255)/V255)</f>
        <v/>
      </c>
      <c r="X255" s="31"/>
      <c r="Y255" s="29"/>
      <c r="Z255" s="32"/>
      <c r="AA255" s="33" t="str">
        <f aca="false">IF(Y255="","",IF(Y255="Stop",-1,IF(Y255="BE",0,IF(Y255="TP1 + BE",Paramètres!$B$7*Paramètres!$B$6,IF(Y255="TP1 (100 %)",Paramètres!$B$6,IF(Y255="TP2",Paramètres!$B$7*Paramètres!$B$6+(1-Paramètres!$B$7)*N(W255),IF(Y255="Sortie manuelle",N(Z255),"")))))))</f>
        <v/>
      </c>
      <c r="AB255" s="34" t="str">
        <f aca="false">IF(AA255="","",AA255*IF(X255="",Paramètres!$B$5,X255))</f>
        <v/>
      </c>
      <c r="AC255" s="35" t="str">
        <f aca="false">IF(AB255="","",Paramètres!$B$4*(1+SUM(AB$5:AB255)))</f>
        <v/>
      </c>
      <c r="AD255" s="29"/>
      <c r="AE255" s="29"/>
      <c r="AF255" s="29"/>
      <c r="AG255" s="36"/>
      <c r="AH255" s="36"/>
      <c r="AI255" s="33" t="str">
        <f aca="false">IF(AA255="","",SUM(AA$5:AA255))</f>
        <v/>
      </c>
      <c r="AJ255" s="33" t="str">
        <f aca="false">IF(AI255="","",MAX(AI255,MAX(AJ$5:AJ254),0))</f>
        <v/>
      </c>
      <c r="AK255" s="33" t="str">
        <f aca="false">IF(AI255="","",AI255-AJ255)</f>
        <v/>
      </c>
      <c r="AL255" s="25" t="str">
        <f aca="false">IF(AA255="","",IF(AA255&lt;0,N(AL254)+1,0))</f>
        <v/>
      </c>
      <c r="AM255" s="37" t="str">
        <f aca="false">IF(B255="","",B255-WEEKDAY(B255,2)+1)</f>
        <v/>
      </c>
    </row>
    <row r="256" customFormat="false" ht="15" hidden="false" customHeight="false" outlineLevel="0" collapsed="false">
      <c r="A256" s="25" t="str">
        <f aca="false">IF(B256="","",ROW()-4)</f>
        <v/>
      </c>
      <c r="B256" s="26"/>
      <c r="C256" s="27" t="str">
        <f aca="false">IF(B256="","",CHOOSE(WEEKDAY(B256,2),"Lundi","Mardi","Mercredi","Jeudi","Vendredi","Samedi","Dimanche"))</f>
        <v/>
      </c>
      <c r="D256" s="28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5" t="str">
        <f aca="false">IF(B256="","",OR(AND(H256="Achat",I256="Haussier"),AND(H256="Vente",I256="Baissier"))*1+OR(AND(H256="Achat",J256="Discount"),AND(H256="Vente",J256="Premium"))*1+AND(K256&lt;&gt;"",K256&lt;&gt;"Aucune")*1+OR(L256="CHoCH",L256="BOS")*1+(M256="Oui")*1+OR(G256="Londres",G256="New York")*1+(O256="Non")*1)</f>
        <v/>
      </c>
      <c r="Q256" s="27" t="str">
        <f aca="false">IF(P256="","",IF(P256=7,"A+",IF(P256&gt;=5,"B","C")))</f>
        <v/>
      </c>
      <c r="R256" s="29"/>
      <c r="S256" s="29"/>
      <c r="T256" s="27" t="str">
        <f aca="false">IF(OR(R256="",S256=""),"",R256+(R256-S256)*Paramètres!$B$6)</f>
        <v/>
      </c>
      <c r="U256" s="29"/>
      <c r="V256" s="27" t="str">
        <f aca="false">IF(OR(R256="",S256=""),"",ABS(R256-S256))</f>
        <v/>
      </c>
      <c r="W256" s="30" t="str">
        <f aca="false">IF(OR(U256="",V256="",N(V256)=0),"",ABS(U256-R256)/V256)</f>
        <v/>
      </c>
      <c r="X256" s="31"/>
      <c r="Y256" s="29"/>
      <c r="Z256" s="32"/>
      <c r="AA256" s="33" t="str">
        <f aca="false">IF(Y256="","",IF(Y256="Stop",-1,IF(Y256="BE",0,IF(Y256="TP1 + BE",Paramètres!$B$7*Paramètres!$B$6,IF(Y256="TP1 (100 %)",Paramètres!$B$6,IF(Y256="TP2",Paramètres!$B$7*Paramètres!$B$6+(1-Paramètres!$B$7)*N(W256),IF(Y256="Sortie manuelle",N(Z256),"")))))))</f>
        <v/>
      </c>
      <c r="AB256" s="34" t="str">
        <f aca="false">IF(AA256="","",AA256*IF(X256="",Paramètres!$B$5,X256))</f>
        <v/>
      </c>
      <c r="AC256" s="35" t="str">
        <f aca="false">IF(AB256="","",Paramètres!$B$4*(1+SUM(AB$5:AB256)))</f>
        <v/>
      </c>
      <c r="AD256" s="29"/>
      <c r="AE256" s="29"/>
      <c r="AF256" s="29"/>
      <c r="AG256" s="36"/>
      <c r="AH256" s="36"/>
      <c r="AI256" s="33" t="str">
        <f aca="false">IF(AA256="","",SUM(AA$5:AA256))</f>
        <v/>
      </c>
      <c r="AJ256" s="33" t="str">
        <f aca="false">IF(AI256="","",MAX(AI256,MAX(AJ$5:AJ255),0))</f>
        <v/>
      </c>
      <c r="AK256" s="33" t="str">
        <f aca="false">IF(AI256="","",AI256-AJ256)</f>
        <v/>
      </c>
      <c r="AL256" s="25" t="str">
        <f aca="false">IF(AA256="","",IF(AA256&lt;0,N(AL255)+1,0))</f>
        <v/>
      </c>
      <c r="AM256" s="37" t="str">
        <f aca="false">IF(B256="","",B256-WEEKDAY(B256,2)+1)</f>
        <v/>
      </c>
    </row>
    <row r="257" customFormat="false" ht="15" hidden="false" customHeight="false" outlineLevel="0" collapsed="false">
      <c r="A257" s="25" t="str">
        <f aca="false">IF(B257="","",ROW()-4)</f>
        <v/>
      </c>
      <c r="B257" s="26"/>
      <c r="C257" s="27" t="str">
        <f aca="false">IF(B257="","",CHOOSE(WEEKDAY(B257,2),"Lundi","Mardi","Mercredi","Jeudi","Vendredi","Samedi","Dimanche"))</f>
        <v/>
      </c>
      <c r="D257" s="28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5" t="str">
        <f aca="false">IF(B257="","",OR(AND(H257="Achat",I257="Haussier"),AND(H257="Vente",I257="Baissier"))*1+OR(AND(H257="Achat",J257="Discount"),AND(H257="Vente",J257="Premium"))*1+AND(K257&lt;&gt;"",K257&lt;&gt;"Aucune")*1+OR(L257="CHoCH",L257="BOS")*1+(M257="Oui")*1+OR(G257="Londres",G257="New York")*1+(O257="Non")*1)</f>
        <v/>
      </c>
      <c r="Q257" s="27" t="str">
        <f aca="false">IF(P257="","",IF(P257=7,"A+",IF(P257&gt;=5,"B","C")))</f>
        <v/>
      </c>
      <c r="R257" s="29"/>
      <c r="S257" s="29"/>
      <c r="T257" s="27" t="str">
        <f aca="false">IF(OR(R257="",S257=""),"",R257+(R257-S257)*Paramètres!$B$6)</f>
        <v/>
      </c>
      <c r="U257" s="29"/>
      <c r="V257" s="27" t="str">
        <f aca="false">IF(OR(R257="",S257=""),"",ABS(R257-S257))</f>
        <v/>
      </c>
      <c r="W257" s="30" t="str">
        <f aca="false">IF(OR(U257="",V257="",N(V257)=0),"",ABS(U257-R257)/V257)</f>
        <v/>
      </c>
      <c r="X257" s="31"/>
      <c r="Y257" s="29"/>
      <c r="Z257" s="32"/>
      <c r="AA257" s="33" t="str">
        <f aca="false">IF(Y257="","",IF(Y257="Stop",-1,IF(Y257="BE",0,IF(Y257="TP1 + BE",Paramètres!$B$7*Paramètres!$B$6,IF(Y257="TP1 (100 %)",Paramètres!$B$6,IF(Y257="TP2",Paramètres!$B$7*Paramètres!$B$6+(1-Paramètres!$B$7)*N(W257),IF(Y257="Sortie manuelle",N(Z257),"")))))))</f>
        <v/>
      </c>
      <c r="AB257" s="34" t="str">
        <f aca="false">IF(AA257="","",AA257*IF(X257="",Paramètres!$B$5,X257))</f>
        <v/>
      </c>
      <c r="AC257" s="35" t="str">
        <f aca="false">IF(AB257="","",Paramètres!$B$4*(1+SUM(AB$5:AB257)))</f>
        <v/>
      </c>
      <c r="AD257" s="29"/>
      <c r="AE257" s="29"/>
      <c r="AF257" s="29"/>
      <c r="AG257" s="36"/>
      <c r="AH257" s="36"/>
      <c r="AI257" s="33" t="str">
        <f aca="false">IF(AA257="","",SUM(AA$5:AA257))</f>
        <v/>
      </c>
      <c r="AJ257" s="33" t="str">
        <f aca="false">IF(AI257="","",MAX(AI257,MAX(AJ$5:AJ256),0))</f>
        <v/>
      </c>
      <c r="AK257" s="33" t="str">
        <f aca="false">IF(AI257="","",AI257-AJ257)</f>
        <v/>
      </c>
      <c r="AL257" s="25" t="str">
        <f aca="false">IF(AA257="","",IF(AA257&lt;0,N(AL256)+1,0))</f>
        <v/>
      </c>
      <c r="AM257" s="37" t="str">
        <f aca="false">IF(B257="","",B257-WEEKDAY(B257,2)+1)</f>
        <v/>
      </c>
    </row>
    <row r="258" customFormat="false" ht="15" hidden="false" customHeight="false" outlineLevel="0" collapsed="false">
      <c r="A258" s="25" t="str">
        <f aca="false">IF(B258="","",ROW()-4)</f>
        <v/>
      </c>
      <c r="B258" s="26"/>
      <c r="C258" s="27" t="str">
        <f aca="false">IF(B258="","",CHOOSE(WEEKDAY(B258,2),"Lundi","Mardi","Mercredi","Jeudi","Vendredi","Samedi","Dimanche"))</f>
        <v/>
      </c>
      <c r="D258" s="28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5" t="str">
        <f aca="false">IF(B258="","",OR(AND(H258="Achat",I258="Haussier"),AND(H258="Vente",I258="Baissier"))*1+OR(AND(H258="Achat",J258="Discount"),AND(H258="Vente",J258="Premium"))*1+AND(K258&lt;&gt;"",K258&lt;&gt;"Aucune")*1+OR(L258="CHoCH",L258="BOS")*1+(M258="Oui")*1+OR(G258="Londres",G258="New York")*1+(O258="Non")*1)</f>
        <v/>
      </c>
      <c r="Q258" s="27" t="str">
        <f aca="false">IF(P258="","",IF(P258=7,"A+",IF(P258&gt;=5,"B","C")))</f>
        <v/>
      </c>
      <c r="R258" s="29"/>
      <c r="S258" s="29"/>
      <c r="T258" s="27" t="str">
        <f aca="false">IF(OR(R258="",S258=""),"",R258+(R258-S258)*Paramètres!$B$6)</f>
        <v/>
      </c>
      <c r="U258" s="29"/>
      <c r="V258" s="27" t="str">
        <f aca="false">IF(OR(R258="",S258=""),"",ABS(R258-S258))</f>
        <v/>
      </c>
      <c r="W258" s="30" t="str">
        <f aca="false">IF(OR(U258="",V258="",N(V258)=0),"",ABS(U258-R258)/V258)</f>
        <v/>
      </c>
      <c r="X258" s="31"/>
      <c r="Y258" s="29"/>
      <c r="Z258" s="32"/>
      <c r="AA258" s="33" t="str">
        <f aca="false">IF(Y258="","",IF(Y258="Stop",-1,IF(Y258="BE",0,IF(Y258="TP1 + BE",Paramètres!$B$7*Paramètres!$B$6,IF(Y258="TP1 (100 %)",Paramètres!$B$6,IF(Y258="TP2",Paramètres!$B$7*Paramètres!$B$6+(1-Paramètres!$B$7)*N(W258),IF(Y258="Sortie manuelle",N(Z258),"")))))))</f>
        <v/>
      </c>
      <c r="AB258" s="34" t="str">
        <f aca="false">IF(AA258="","",AA258*IF(X258="",Paramètres!$B$5,X258))</f>
        <v/>
      </c>
      <c r="AC258" s="35" t="str">
        <f aca="false">IF(AB258="","",Paramètres!$B$4*(1+SUM(AB$5:AB258)))</f>
        <v/>
      </c>
      <c r="AD258" s="29"/>
      <c r="AE258" s="29"/>
      <c r="AF258" s="29"/>
      <c r="AG258" s="36"/>
      <c r="AH258" s="36"/>
      <c r="AI258" s="33" t="str">
        <f aca="false">IF(AA258="","",SUM(AA$5:AA258))</f>
        <v/>
      </c>
      <c r="AJ258" s="33" t="str">
        <f aca="false">IF(AI258="","",MAX(AI258,MAX(AJ$5:AJ257),0))</f>
        <v/>
      </c>
      <c r="AK258" s="33" t="str">
        <f aca="false">IF(AI258="","",AI258-AJ258)</f>
        <v/>
      </c>
      <c r="AL258" s="25" t="str">
        <f aca="false">IF(AA258="","",IF(AA258&lt;0,N(AL257)+1,0))</f>
        <v/>
      </c>
      <c r="AM258" s="37" t="str">
        <f aca="false">IF(B258="","",B258-WEEKDAY(B258,2)+1)</f>
        <v/>
      </c>
    </row>
    <row r="259" customFormat="false" ht="15" hidden="false" customHeight="false" outlineLevel="0" collapsed="false">
      <c r="A259" s="25" t="str">
        <f aca="false">IF(B259="","",ROW()-4)</f>
        <v/>
      </c>
      <c r="B259" s="26"/>
      <c r="C259" s="27" t="str">
        <f aca="false">IF(B259="","",CHOOSE(WEEKDAY(B259,2),"Lundi","Mardi","Mercredi","Jeudi","Vendredi","Samedi","Dimanche"))</f>
        <v/>
      </c>
      <c r="D259" s="28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5" t="str">
        <f aca="false">IF(B259="","",OR(AND(H259="Achat",I259="Haussier"),AND(H259="Vente",I259="Baissier"))*1+OR(AND(H259="Achat",J259="Discount"),AND(H259="Vente",J259="Premium"))*1+AND(K259&lt;&gt;"",K259&lt;&gt;"Aucune")*1+OR(L259="CHoCH",L259="BOS")*1+(M259="Oui")*1+OR(G259="Londres",G259="New York")*1+(O259="Non")*1)</f>
        <v/>
      </c>
      <c r="Q259" s="27" t="str">
        <f aca="false">IF(P259="","",IF(P259=7,"A+",IF(P259&gt;=5,"B","C")))</f>
        <v/>
      </c>
      <c r="R259" s="29"/>
      <c r="S259" s="29"/>
      <c r="T259" s="27" t="str">
        <f aca="false">IF(OR(R259="",S259=""),"",R259+(R259-S259)*Paramètres!$B$6)</f>
        <v/>
      </c>
      <c r="U259" s="29"/>
      <c r="V259" s="27" t="str">
        <f aca="false">IF(OR(R259="",S259=""),"",ABS(R259-S259))</f>
        <v/>
      </c>
      <c r="W259" s="30" t="str">
        <f aca="false">IF(OR(U259="",V259="",N(V259)=0),"",ABS(U259-R259)/V259)</f>
        <v/>
      </c>
      <c r="X259" s="31"/>
      <c r="Y259" s="29"/>
      <c r="Z259" s="32"/>
      <c r="AA259" s="33" t="str">
        <f aca="false">IF(Y259="","",IF(Y259="Stop",-1,IF(Y259="BE",0,IF(Y259="TP1 + BE",Paramètres!$B$7*Paramètres!$B$6,IF(Y259="TP1 (100 %)",Paramètres!$B$6,IF(Y259="TP2",Paramètres!$B$7*Paramètres!$B$6+(1-Paramètres!$B$7)*N(W259),IF(Y259="Sortie manuelle",N(Z259),"")))))))</f>
        <v/>
      </c>
      <c r="AB259" s="34" t="str">
        <f aca="false">IF(AA259="","",AA259*IF(X259="",Paramètres!$B$5,X259))</f>
        <v/>
      </c>
      <c r="AC259" s="35" t="str">
        <f aca="false">IF(AB259="","",Paramètres!$B$4*(1+SUM(AB$5:AB259)))</f>
        <v/>
      </c>
      <c r="AD259" s="29"/>
      <c r="AE259" s="29"/>
      <c r="AF259" s="29"/>
      <c r="AG259" s="36"/>
      <c r="AH259" s="36"/>
      <c r="AI259" s="33" t="str">
        <f aca="false">IF(AA259="","",SUM(AA$5:AA259))</f>
        <v/>
      </c>
      <c r="AJ259" s="33" t="str">
        <f aca="false">IF(AI259="","",MAX(AI259,MAX(AJ$5:AJ258),0))</f>
        <v/>
      </c>
      <c r="AK259" s="33" t="str">
        <f aca="false">IF(AI259="","",AI259-AJ259)</f>
        <v/>
      </c>
      <c r="AL259" s="25" t="str">
        <f aca="false">IF(AA259="","",IF(AA259&lt;0,N(AL258)+1,0))</f>
        <v/>
      </c>
      <c r="AM259" s="37" t="str">
        <f aca="false">IF(B259="","",B259-WEEKDAY(B259,2)+1)</f>
        <v/>
      </c>
    </row>
    <row r="260" customFormat="false" ht="15" hidden="false" customHeight="false" outlineLevel="0" collapsed="false">
      <c r="A260" s="25" t="str">
        <f aca="false">IF(B260="","",ROW()-4)</f>
        <v/>
      </c>
      <c r="B260" s="26"/>
      <c r="C260" s="27" t="str">
        <f aca="false">IF(B260="","",CHOOSE(WEEKDAY(B260,2),"Lundi","Mardi","Mercredi","Jeudi","Vendredi","Samedi","Dimanche"))</f>
        <v/>
      </c>
      <c r="D260" s="28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5" t="str">
        <f aca="false">IF(B260="","",OR(AND(H260="Achat",I260="Haussier"),AND(H260="Vente",I260="Baissier"))*1+OR(AND(H260="Achat",J260="Discount"),AND(H260="Vente",J260="Premium"))*1+AND(K260&lt;&gt;"",K260&lt;&gt;"Aucune")*1+OR(L260="CHoCH",L260="BOS")*1+(M260="Oui")*1+OR(G260="Londres",G260="New York")*1+(O260="Non")*1)</f>
        <v/>
      </c>
      <c r="Q260" s="27" t="str">
        <f aca="false">IF(P260="","",IF(P260=7,"A+",IF(P260&gt;=5,"B","C")))</f>
        <v/>
      </c>
      <c r="R260" s="29"/>
      <c r="S260" s="29"/>
      <c r="T260" s="27" t="str">
        <f aca="false">IF(OR(R260="",S260=""),"",R260+(R260-S260)*Paramètres!$B$6)</f>
        <v/>
      </c>
      <c r="U260" s="29"/>
      <c r="V260" s="27" t="str">
        <f aca="false">IF(OR(R260="",S260=""),"",ABS(R260-S260))</f>
        <v/>
      </c>
      <c r="W260" s="30" t="str">
        <f aca="false">IF(OR(U260="",V260="",N(V260)=0),"",ABS(U260-R260)/V260)</f>
        <v/>
      </c>
      <c r="X260" s="31"/>
      <c r="Y260" s="29"/>
      <c r="Z260" s="32"/>
      <c r="AA260" s="33" t="str">
        <f aca="false">IF(Y260="","",IF(Y260="Stop",-1,IF(Y260="BE",0,IF(Y260="TP1 + BE",Paramètres!$B$7*Paramètres!$B$6,IF(Y260="TP1 (100 %)",Paramètres!$B$6,IF(Y260="TP2",Paramètres!$B$7*Paramètres!$B$6+(1-Paramètres!$B$7)*N(W260),IF(Y260="Sortie manuelle",N(Z260),"")))))))</f>
        <v/>
      </c>
      <c r="AB260" s="34" t="str">
        <f aca="false">IF(AA260="","",AA260*IF(X260="",Paramètres!$B$5,X260))</f>
        <v/>
      </c>
      <c r="AC260" s="35" t="str">
        <f aca="false">IF(AB260="","",Paramètres!$B$4*(1+SUM(AB$5:AB260)))</f>
        <v/>
      </c>
      <c r="AD260" s="29"/>
      <c r="AE260" s="29"/>
      <c r="AF260" s="29"/>
      <c r="AG260" s="36"/>
      <c r="AH260" s="36"/>
      <c r="AI260" s="33" t="str">
        <f aca="false">IF(AA260="","",SUM(AA$5:AA260))</f>
        <v/>
      </c>
      <c r="AJ260" s="33" t="str">
        <f aca="false">IF(AI260="","",MAX(AI260,MAX(AJ$5:AJ259),0))</f>
        <v/>
      </c>
      <c r="AK260" s="33" t="str">
        <f aca="false">IF(AI260="","",AI260-AJ260)</f>
        <v/>
      </c>
      <c r="AL260" s="25" t="str">
        <f aca="false">IF(AA260="","",IF(AA260&lt;0,N(AL259)+1,0))</f>
        <v/>
      </c>
      <c r="AM260" s="37" t="str">
        <f aca="false">IF(B260="","",B260-WEEKDAY(B260,2)+1)</f>
        <v/>
      </c>
    </row>
    <row r="261" customFormat="false" ht="15" hidden="false" customHeight="false" outlineLevel="0" collapsed="false">
      <c r="A261" s="25" t="str">
        <f aca="false">IF(B261="","",ROW()-4)</f>
        <v/>
      </c>
      <c r="B261" s="26"/>
      <c r="C261" s="27" t="str">
        <f aca="false">IF(B261="","",CHOOSE(WEEKDAY(B261,2),"Lundi","Mardi","Mercredi","Jeudi","Vendredi","Samedi","Dimanche"))</f>
        <v/>
      </c>
      <c r="D261" s="28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5" t="str">
        <f aca="false">IF(B261="","",OR(AND(H261="Achat",I261="Haussier"),AND(H261="Vente",I261="Baissier"))*1+OR(AND(H261="Achat",J261="Discount"),AND(H261="Vente",J261="Premium"))*1+AND(K261&lt;&gt;"",K261&lt;&gt;"Aucune")*1+OR(L261="CHoCH",L261="BOS")*1+(M261="Oui")*1+OR(G261="Londres",G261="New York")*1+(O261="Non")*1)</f>
        <v/>
      </c>
      <c r="Q261" s="27" t="str">
        <f aca="false">IF(P261="","",IF(P261=7,"A+",IF(P261&gt;=5,"B","C")))</f>
        <v/>
      </c>
      <c r="R261" s="29"/>
      <c r="S261" s="29"/>
      <c r="T261" s="27" t="str">
        <f aca="false">IF(OR(R261="",S261=""),"",R261+(R261-S261)*Paramètres!$B$6)</f>
        <v/>
      </c>
      <c r="U261" s="29"/>
      <c r="V261" s="27" t="str">
        <f aca="false">IF(OR(R261="",S261=""),"",ABS(R261-S261))</f>
        <v/>
      </c>
      <c r="W261" s="30" t="str">
        <f aca="false">IF(OR(U261="",V261="",N(V261)=0),"",ABS(U261-R261)/V261)</f>
        <v/>
      </c>
      <c r="X261" s="31"/>
      <c r="Y261" s="29"/>
      <c r="Z261" s="32"/>
      <c r="AA261" s="33" t="str">
        <f aca="false">IF(Y261="","",IF(Y261="Stop",-1,IF(Y261="BE",0,IF(Y261="TP1 + BE",Paramètres!$B$7*Paramètres!$B$6,IF(Y261="TP1 (100 %)",Paramètres!$B$6,IF(Y261="TP2",Paramètres!$B$7*Paramètres!$B$6+(1-Paramètres!$B$7)*N(W261),IF(Y261="Sortie manuelle",N(Z261),"")))))))</f>
        <v/>
      </c>
      <c r="AB261" s="34" t="str">
        <f aca="false">IF(AA261="","",AA261*IF(X261="",Paramètres!$B$5,X261))</f>
        <v/>
      </c>
      <c r="AC261" s="35" t="str">
        <f aca="false">IF(AB261="","",Paramètres!$B$4*(1+SUM(AB$5:AB261)))</f>
        <v/>
      </c>
      <c r="AD261" s="29"/>
      <c r="AE261" s="29"/>
      <c r="AF261" s="29"/>
      <c r="AG261" s="36"/>
      <c r="AH261" s="36"/>
      <c r="AI261" s="33" t="str">
        <f aca="false">IF(AA261="","",SUM(AA$5:AA261))</f>
        <v/>
      </c>
      <c r="AJ261" s="33" t="str">
        <f aca="false">IF(AI261="","",MAX(AI261,MAX(AJ$5:AJ260),0))</f>
        <v/>
      </c>
      <c r="AK261" s="33" t="str">
        <f aca="false">IF(AI261="","",AI261-AJ261)</f>
        <v/>
      </c>
      <c r="AL261" s="25" t="str">
        <f aca="false">IF(AA261="","",IF(AA261&lt;0,N(AL260)+1,0))</f>
        <v/>
      </c>
      <c r="AM261" s="37" t="str">
        <f aca="false">IF(B261="","",B261-WEEKDAY(B261,2)+1)</f>
        <v/>
      </c>
    </row>
    <row r="262" customFormat="false" ht="15" hidden="false" customHeight="false" outlineLevel="0" collapsed="false">
      <c r="A262" s="25" t="str">
        <f aca="false">IF(B262="","",ROW()-4)</f>
        <v/>
      </c>
      <c r="B262" s="26"/>
      <c r="C262" s="27" t="str">
        <f aca="false">IF(B262="","",CHOOSE(WEEKDAY(B262,2),"Lundi","Mardi","Mercredi","Jeudi","Vendredi","Samedi","Dimanche"))</f>
        <v/>
      </c>
      <c r="D262" s="28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5" t="str">
        <f aca="false">IF(B262="","",OR(AND(H262="Achat",I262="Haussier"),AND(H262="Vente",I262="Baissier"))*1+OR(AND(H262="Achat",J262="Discount"),AND(H262="Vente",J262="Premium"))*1+AND(K262&lt;&gt;"",K262&lt;&gt;"Aucune")*1+OR(L262="CHoCH",L262="BOS")*1+(M262="Oui")*1+OR(G262="Londres",G262="New York")*1+(O262="Non")*1)</f>
        <v/>
      </c>
      <c r="Q262" s="27" t="str">
        <f aca="false">IF(P262="","",IF(P262=7,"A+",IF(P262&gt;=5,"B","C")))</f>
        <v/>
      </c>
      <c r="R262" s="29"/>
      <c r="S262" s="29"/>
      <c r="T262" s="27" t="str">
        <f aca="false">IF(OR(R262="",S262=""),"",R262+(R262-S262)*Paramètres!$B$6)</f>
        <v/>
      </c>
      <c r="U262" s="29"/>
      <c r="V262" s="27" t="str">
        <f aca="false">IF(OR(R262="",S262=""),"",ABS(R262-S262))</f>
        <v/>
      </c>
      <c r="W262" s="30" t="str">
        <f aca="false">IF(OR(U262="",V262="",N(V262)=0),"",ABS(U262-R262)/V262)</f>
        <v/>
      </c>
      <c r="X262" s="31"/>
      <c r="Y262" s="29"/>
      <c r="Z262" s="32"/>
      <c r="AA262" s="33" t="str">
        <f aca="false">IF(Y262="","",IF(Y262="Stop",-1,IF(Y262="BE",0,IF(Y262="TP1 + BE",Paramètres!$B$7*Paramètres!$B$6,IF(Y262="TP1 (100 %)",Paramètres!$B$6,IF(Y262="TP2",Paramètres!$B$7*Paramètres!$B$6+(1-Paramètres!$B$7)*N(W262),IF(Y262="Sortie manuelle",N(Z262),"")))))))</f>
        <v/>
      </c>
      <c r="AB262" s="34" t="str">
        <f aca="false">IF(AA262="","",AA262*IF(X262="",Paramètres!$B$5,X262))</f>
        <v/>
      </c>
      <c r="AC262" s="35" t="str">
        <f aca="false">IF(AB262="","",Paramètres!$B$4*(1+SUM(AB$5:AB262)))</f>
        <v/>
      </c>
      <c r="AD262" s="29"/>
      <c r="AE262" s="29"/>
      <c r="AF262" s="29"/>
      <c r="AG262" s="36"/>
      <c r="AH262" s="36"/>
      <c r="AI262" s="33" t="str">
        <f aca="false">IF(AA262="","",SUM(AA$5:AA262))</f>
        <v/>
      </c>
      <c r="AJ262" s="33" t="str">
        <f aca="false">IF(AI262="","",MAX(AI262,MAX(AJ$5:AJ261),0))</f>
        <v/>
      </c>
      <c r="AK262" s="33" t="str">
        <f aca="false">IF(AI262="","",AI262-AJ262)</f>
        <v/>
      </c>
      <c r="AL262" s="25" t="str">
        <f aca="false">IF(AA262="","",IF(AA262&lt;0,N(AL261)+1,0))</f>
        <v/>
      </c>
      <c r="AM262" s="37" t="str">
        <f aca="false">IF(B262="","",B262-WEEKDAY(B262,2)+1)</f>
        <v/>
      </c>
    </row>
    <row r="263" customFormat="false" ht="15" hidden="false" customHeight="false" outlineLevel="0" collapsed="false">
      <c r="A263" s="25" t="str">
        <f aca="false">IF(B263="","",ROW()-4)</f>
        <v/>
      </c>
      <c r="B263" s="26"/>
      <c r="C263" s="27" t="str">
        <f aca="false">IF(B263="","",CHOOSE(WEEKDAY(B263,2),"Lundi","Mardi","Mercredi","Jeudi","Vendredi","Samedi","Dimanche"))</f>
        <v/>
      </c>
      <c r="D263" s="28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5" t="str">
        <f aca="false">IF(B263="","",OR(AND(H263="Achat",I263="Haussier"),AND(H263="Vente",I263="Baissier"))*1+OR(AND(H263="Achat",J263="Discount"),AND(H263="Vente",J263="Premium"))*1+AND(K263&lt;&gt;"",K263&lt;&gt;"Aucune")*1+OR(L263="CHoCH",L263="BOS")*1+(M263="Oui")*1+OR(G263="Londres",G263="New York")*1+(O263="Non")*1)</f>
        <v/>
      </c>
      <c r="Q263" s="27" t="str">
        <f aca="false">IF(P263="","",IF(P263=7,"A+",IF(P263&gt;=5,"B","C")))</f>
        <v/>
      </c>
      <c r="R263" s="29"/>
      <c r="S263" s="29"/>
      <c r="T263" s="27" t="str">
        <f aca="false">IF(OR(R263="",S263=""),"",R263+(R263-S263)*Paramètres!$B$6)</f>
        <v/>
      </c>
      <c r="U263" s="29"/>
      <c r="V263" s="27" t="str">
        <f aca="false">IF(OR(R263="",S263=""),"",ABS(R263-S263))</f>
        <v/>
      </c>
      <c r="W263" s="30" t="str">
        <f aca="false">IF(OR(U263="",V263="",N(V263)=0),"",ABS(U263-R263)/V263)</f>
        <v/>
      </c>
      <c r="X263" s="31"/>
      <c r="Y263" s="29"/>
      <c r="Z263" s="32"/>
      <c r="AA263" s="33" t="str">
        <f aca="false">IF(Y263="","",IF(Y263="Stop",-1,IF(Y263="BE",0,IF(Y263="TP1 + BE",Paramètres!$B$7*Paramètres!$B$6,IF(Y263="TP1 (100 %)",Paramètres!$B$6,IF(Y263="TP2",Paramètres!$B$7*Paramètres!$B$6+(1-Paramètres!$B$7)*N(W263),IF(Y263="Sortie manuelle",N(Z263),"")))))))</f>
        <v/>
      </c>
      <c r="AB263" s="34" t="str">
        <f aca="false">IF(AA263="","",AA263*IF(X263="",Paramètres!$B$5,X263))</f>
        <v/>
      </c>
      <c r="AC263" s="35" t="str">
        <f aca="false">IF(AB263="","",Paramètres!$B$4*(1+SUM(AB$5:AB263)))</f>
        <v/>
      </c>
      <c r="AD263" s="29"/>
      <c r="AE263" s="29"/>
      <c r="AF263" s="29"/>
      <c r="AG263" s="36"/>
      <c r="AH263" s="36"/>
      <c r="AI263" s="33" t="str">
        <f aca="false">IF(AA263="","",SUM(AA$5:AA263))</f>
        <v/>
      </c>
      <c r="AJ263" s="33" t="str">
        <f aca="false">IF(AI263="","",MAX(AI263,MAX(AJ$5:AJ262),0))</f>
        <v/>
      </c>
      <c r="AK263" s="33" t="str">
        <f aca="false">IF(AI263="","",AI263-AJ263)</f>
        <v/>
      </c>
      <c r="AL263" s="25" t="str">
        <f aca="false">IF(AA263="","",IF(AA263&lt;0,N(AL262)+1,0))</f>
        <v/>
      </c>
      <c r="AM263" s="37" t="str">
        <f aca="false">IF(B263="","",B263-WEEKDAY(B263,2)+1)</f>
        <v/>
      </c>
    </row>
    <row r="264" customFormat="false" ht="15" hidden="false" customHeight="false" outlineLevel="0" collapsed="false">
      <c r="A264" s="25" t="str">
        <f aca="false">IF(B264="","",ROW()-4)</f>
        <v/>
      </c>
      <c r="B264" s="26"/>
      <c r="C264" s="27" t="str">
        <f aca="false">IF(B264="","",CHOOSE(WEEKDAY(B264,2),"Lundi","Mardi","Mercredi","Jeudi","Vendredi","Samedi","Dimanche"))</f>
        <v/>
      </c>
      <c r="D264" s="28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5" t="str">
        <f aca="false">IF(B264="","",OR(AND(H264="Achat",I264="Haussier"),AND(H264="Vente",I264="Baissier"))*1+OR(AND(H264="Achat",J264="Discount"),AND(H264="Vente",J264="Premium"))*1+AND(K264&lt;&gt;"",K264&lt;&gt;"Aucune")*1+OR(L264="CHoCH",L264="BOS")*1+(M264="Oui")*1+OR(G264="Londres",G264="New York")*1+(O264="Non")*1)</f>
        <v/>
      </c>
      <c r="Q264" s="27" t="str">
        <f aca="false">IF(P264="","",IF(P264=7,"A+",IF(P264&gt;=5,"B","C")))</f>
        <v/>
      </c>
      <c r="R264" s="29"/>
      <c r="S264" s="29"/>
      <c r="T264" s="27" t="str">
        <f aca="false">IF(OR(R264="",S264=""),"",R264+(R264-S264)*Paramètres!$B$6)</f>
        <v/>
      </c>
      <c r="U264" s="29"/>
      <c r="V264" s="27" t="str">
        <f aca="false">IF(OR(R264="",S264=""),"",ABS(R264-S264))</f>
        <v/>
      </c>
      <c r="W264" s="30" t="str">
        <f aca="false">IF(OR(U264="",V264="",N(V264)=0),"",ABS(U264-R264)/V264)</f>
        <v/>
      </c>
      <c r="X264" s="31"/>
      <c r="Y264" s="29"/>
      <c r="Z264" s="32"/>
      <c r="AA264" s="33" t="str">
        <f aca="false">IF(Y264="","",IF(Y264="Stop",-1,IF(Y264="BE",0,IF(Y264="TP1 + BE",Paramètres!$B$7*Paramètres!$B$6,IF(Y264="TP1 (100 %)",Paramètres!$B$6,IF(Y264="TP2",Paramètres!$B$7*Paramètres!$B$6+(1-Paramètres!$B$7)*N(W264),IF(Y264="Sortie manuelle",N(Z264),"")))))))</f>
        <v/>
      </c>
      <c r="AB264" s="34" t="str">
        <f aca="false">IF(AA264="","",AA264*IF(X264="",Paramètres!$B$5,X264))</f>
        <v/>
      </c>
      <c r="AC264" s="35" t="str">
        <f aca="false">IF(AB264="","",Paramètres!$B$4*(1+SUM(AB$5:AB264)))</f>
        <v/>
      </c>
      <c r="AD264" s="29"/>
      <c r="AE264" s="29"/>
      <c r="AF264" s="29"/>
      <c r="AG264" s="36"/>
      <c r="AH264" s="36"/>
      <c r="AI264" s="33" t="str">
        <f aca="false">IF(AA264="","",SUM(AA$5:AA264))</f>
        <v/>
      </c>
      <c r="AJ264" s="33" t="str">
        <f aca="false">IF(AI264="","",MAX(AI264,MAX(AJ$5:AJ263),0))</f>
        <v/>
      </c>
      <c r="AK264" s="33" t="str">
        <f aca="false">IF(AI264="","",AI264-AJ264)</f>
        <v/>
      </c>
      <c r="AL264" s="25" t="str">
        <f aca="false">IF(AA264="","",IF(AA264&lt;0,N(AL263)+1,0))</f>
        <v/>
      </c>
      <c r="AM264" s="37" t="str">
        <f aca="false">IF(B264="","",B264-WEEKDAY(B264,2)+1)</f>
        <v/>
      </c>
    </row>
    <row r="265" customFormat="false" ht="15" hidden="false" customHeight="false" outlineLevel="0" collapsed="false">
      <c r="A265" s="25" t="str">
        <f aca="false">IF(B265="","",ROW()-4)</f>
        <v/>
      </c>
      <c r="B265" s="26"/>
      <c r="C265" s="27" t="str">
        <f aca="false">IF(B265="","",CHOOSE(WEEKDAY(B265,2),"Lundi","Mardi","Mercredi","Jeudi","Vendredi","Samedi","Dimanche"))</f>
        <v/>
      </c>
      <c r="D265" s="28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5" t="str">
        <f aca="false">IF(B265="","",OR(AND(H265="Achat",I265="Haussier"),AND(H265="Vente",I265="Baissier"))*1+OR(AND(H265="Achat",J265="Discount"),AND(H265="Vente",J265="Premium"))*1+AND(K265&lt;&gt;"",K265&lt;&gt;"Aucune")*1+OR(L265="CHoCH",L265="BOS")*1+(M265="Oui")*1+OR(G265="Londres",G265="New York")*1+(O265="Non")*1)</f>
        <v/>
      </c>
      <c r="Q265" s="27" t="str">
        <f aca="false">IF(P265="","",IF(P265=7,"A+",IF(P265&gt;=5,"B","C")))</f>
        <v/>
      </c>
      <c r="R265" s="29"/>
      <c r="S265" s="29"/>
      <c r="T265" s="27" t="str">
        <f aca="false">IF(OR(R265="",S265=""),"",R265+(R265-S265)*Paramètres!$B$6)</f>
        <v/>
      </c>
      <c r="U265" s="29"/>
      <c r="V265" s="27" t="str">
        <f aca="false">IF(OR(R265="",S265=""),"",ABS(R265-S265))</f>
        <v/>
      </c>
      <c r="W265" s="30" t="str">
        <f aca="false">IF(OR(U265="",V265="",N(V265)=0),"",ABS(U265-R265)/V265)</f>
        <v/>
      </c>
      <c r="X265" s="31"/>
      <c r="Y265" s="29"/>
      <c r="Z265" s="32"/>
      <c r="AA265" s="33" t="str">
        <f aca="false">IF(Y265="","",IF(Y265="Stop",-1,IF(Y265="BE",0,IF(Y265="TP1 + BE",Paramètres!$B$7*Paramètres!$B$6,IF(Y265="TP1 (100 %)",Paramètres!$B$6,IF(Y265="TP2",Paramètres!$B$7*Paramètres!$B$6+(1-Paramètres!$B$7)*N(W265),IF(Y265="Sortie manuelle",N(Z265),"")))))))</f>
        <v/>
      </c>
      <c r="AB265" s="34" t="str">
        <f aca="false">IF(AA265="","",AA265*IF(X265="",Paramètres!$B$5,X265))</f>
        <v/>
      </c>
      <c r="AC265" s="35" t="str">
        <f aca="false">IF(AB265="","",Paramètres!$B$4*(1+SUM(AB$5:AB265)))</f>
        <v/>
      </c>
      <c r="AD265" s="29"/>
      <c r="AE265" s="29"/>
      <c r="AF265" s="29"/>
      <c r="AG265" s="36"/>
      <c r="AH265" s="36"/>
      <c r="AI265" s="33" t="str">
        <f aca="false">IF(AA265="","",SUM(AA$5:AA265))</f>
        <v/>
      </c>
      <c r="AJ265" s="33" t="str">
        <f aca="false">IF(AI265="","",MAX(AI265,MAX(AJ$5:AJ264),0))</f>
        <v/>
      </c>
      <c r="AK265" s="33" t="str">
        <f aca="false">IF(AI265="","",AI265-AJ265)</f>
        <v/>
      </c>
      <c r="AL265" s="25" t="str">
        <f aca="false">IF(AA265="","",IF(AA265&lt;0,N(AL264)+1,0))</f>
        <v/>
      </c>
      <c r="AM265" s="37" t="str">
        <f aca="false">IF(B265="","",B265-WEEKDAY(B265,2)+1)</f>
        <v/>
      </c>
    </row>
    <row r="266" customFormat="false" ht="15" hidden="false" customHeight="false" outlineLevel="0" collapsed="false">
      <c r="A266" s="25" t="str">
        <f aca="false">IF(B266="","",ROW()-4)</f>
        <v/>
      </c>
      <c r="B266" s="26"/>
      <c r="C266" s="27" t="str">
        <f aca="false">IF(B266="","",CHOOSE(WEEKDAY(B266,2),"Lundi","Mardi","Mercredi","Jeudi","Vendredi","Samedi","Dimanche"))</f>
        <v/>
      </c>
      <c r="D266" s="28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5" t="str">
        <f aca="false">IF(B266="","",OR(AND(H266="Achat",I266="Haussier"),AND(H266="Vente",I266="Baissier"))*1+OR(AND(H266="Achat",J266="Discount"),AND(H266="Vente",J266="Premium"))*1+AND(K266&lt;&gt;"",K266&lt;&gt;"Aucune")*1+OR(L266="CHoCH",L266="BOS")*1+(M266="Oui")*1+OR(G266="Londres",G266="New York")*1+(O266="Non")*1)</f>
        <v/>
      </c>
      <c r="Q266" s="27" t="str">
        <f aca="false">IF(P266="","",IF(P266=7,"A+",IF(P266&gt;=5,"B","C")))</f>
        <v/>
      </c>
      <c r="R266" s="29"/>
      <c r="S266" s="29"/>
      <c r="T266" s="27" t="str">
        <f aca="false">IF(OR(R266="",S266=""),"",R266+(R266-S266)*Paramètres!$B$6)</f>
        <v/>
      </c>
      <c r="U266" s="29"/>
      <c r="V266" s="27" t="str">
        <f aca="false">IF(OR(R266="",S266=""),"",ABS(R266-S266))</f>
        <v/>
      </c>
      <c r="W266" s="30" t="str">
        <f aca="false">IF(OR(U266="",V266="",N(V266)=0),"",ABS(U266-R266)/V266)</f>
        <v/>
      </c>
      <c r="X266" s="31"/>
      <c r="Y266" s="29"/>
      <c r="Z266" s="32"/>
      <c r="AA266" s="33" t="str">
        <f aca="false">IF(Y266="","",IF(Y266="Stop",-1,IF(Y266="BE",0,IF(Y266="TP1 + BE",Paramètres!$B$7*Paramètres!$B$6,IF(Y266="TP1 (100 %)",Paramètres!$B$6,IF(Y266="TP2",Paramètres!$B$7*Paramètres!$B$6+(1-Paramètres!$B$7)*N(W266),IF(Y266="Sortie manuelle",N(Z266),"")))))))</f>
        <v/>
      </c>
      <c r="AB266" s="34" t="str">
        <f aca="false">IF(AA266="","",AA266*IF(X266="",Paramètres!$B$5,X266))</f>
        <v/>
      </c>
      <c r="AC266" s="35" t="str">
        <f aca="false">IF(AB266="","",Paramètres!$B$4*(1+SUM(AB$5:AB266)))</f>
        <v/>
      </c>
      <c r="AD266" s="29"/>
      <c r="AE266" s="29"/>
      <c r="AF266" s="29"/>
      <c r="AG266" s="36"/>
      <c r="AH266" s="36"/>
      <c r="AI266" s="33" t="str">
        <f aca="false">IF(AA266="","",SUM(AA$5:AA266))</f>
        <v/>
      </c>
      <c r="AJ266" s="33" t="str">
        <f aca="false">IF(AI266="","",MAX(AI266,MAX(AJ$5:AJ265),0))</f>
        <v/>
      </c>
      <c r="AK266" s="33" t="str">
        <f aca="false">IF(AI266="","",AI266-AJ266)</f>
        <v/>
      </c>
      <c r="AL266" s="25" t="str">
        <f aca="false">IF(AA266="","",IF(AA266&lt;0,N(AL265)+1,0))</f>
        <v/>
      </c>
      <c r="AM266" s="37" t="str">
        <f aca="false">IF(B266="","",B266-WEEKDAY(B266,2)+1)</f>
        <v/>
      </c>
    </row>
    <row r="267" customFormat="false" ht="15" hidden="false" customHeight="false" outlineLevel="0" collapsed="false">
      <c r="A267" s="25" t="str">
        <f aca="false">IF(B267="","",ROW()-4)</f>
        <v/>
      </c>
      <c r="B267" s="26"/>
      <c r="C267" s="27" t="str">
        <f aca="false">IF(B267="","",CHOOSE(WEEKDAY(B267,2),"Lundi","Mardi","Mercredi","Jeudi","Vendredi","Samedi","Dimanche"))</f>
        <v/>
      </c>
      <c r="D267" s="28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5" t="str">
        <f aca="false">IF(B267="","",OR(AND(H267="Achat",I267="Haussier"),AND(H267="Vente",I267="Baissier"))*1+OR(AND(H267="Achat",J267="Discount"),AND(H267="Vente",J267="Premium"))*1+AND(K267&lt;&gt;"",K267&lt;&gt;"Aucune")*1+OR(L267="CHoCH",L267="BOS")*1+(M267="Oui")*1+OR(G267="Londres",G267="New York")*1+(O267="Non")*1)</f>
        <v/>
      </c>
      <c r="Q267" s="27" t="str">
        <f aca="false">IF(P267="","",IF(P267=7,"A+",IF(P267&gt;=5,"B","C")))</f>
        <v/>
      </c>
      <c r="R267" s="29"/>
      <c r="S267" s="29"/>
      <c r="T267" s="27" t="str">
        <f aca="false">IF(OR(R267="",S267=""),"",R267+(R267-S267)*Paramètres!$B$6)</f>
        <v/>
      </c>
      <c r="U267" s="29"/>
      <c r="V267" s="27" t="str">
        <f aca="false">IF(OR(R267="",S267=""),"",ABS(R267-S267))</f>
        <v/>
      </c>
      <c r="W267" s="30" t="str">
        <f aca="false">IF(OR(U267="",V267="",N(V267)=0),"",ABS(U267-R267)/V267)</f>
        <v/>
      </c>
      <c r="X267" s="31"/>
      <c r="Y267" s="29"/>
      <c r="Z267" s="32"/>
      <c r="AA267" s="33" t="str">
        <f aca="false">IF(Y267="","",IF(Y267="Stop",-1,IF(Y267="BE",0,IF(Y267="TP1 + BE",Paramètres!$B$7*Paramètres!$B$6,IF(Y267="TP1 (100 %)",Paramètres!$B$6,IF(Y267="TP2",Paramètres!$B$7*Paramètres!$B$6+(1-Paramètres!$B$7)*N(W267),IF(Y267="Sortie manuelle",N(Z267),"")))))))</f>
        <v/>
      </c>
      <c r="AB267" s="34" t="str">
        <f aca="false">IF(AA267="","",AA267*IF(X267="",Paramètres!$B$5,X267))</f>
        <v/>
      </c>
      <c r="AC267" s="35" t="str">
        <f aca="false">IF(AB267="","",Paramètres!$B$4*(1+SUM(AB$5:AB267)))</f>
        <v/>
      </c>
      <c r="AD267" s="29"/>
      <c r="AE267" s="29"/>
      <c r="AF267" s="29"/>
      <c r="AG267" s="36"/>
      <c r="AH267" s="36"/>
      <c r="AI267" s="33" t="str">
        <f aca="false">IF(AA267="","",SUM(AA$5:AA267))</f>
        <v/>
      </c>
      <c r="AJ267" s="33" t="str">
        <f aca="false">IF(AI267="","",MAX(AI267,MAX(AJ$5:AJ266),0))</f>
        <v/>
      </c>
      <c r="AK267" s="33" t="str">
        <f aca="false">IF(AI267="","",AI267-AJ267)</f>
        <v/>
      </c>
      <c r="AL267" s="25" t="str">
        <f aca="false">IF(AA267="","",IF(AA267&lt;0,N(AL266)+1,0))</f>
        <v/>
      </c>
      <c r="AM267" s="37" t="str">
        <f aca="false">IF(B267="","",B267-WEEKDAY(B267,2)+1)</f>
        <v/>
      </c>
    </row>
    <row r="268" customFormat="false" ht="15" hidden="false" customHeight="false" outlineLevel="0" collapsed="false">
      <c r="A268" s="25" t="str">
        <f aca="false">IF(B268="","",ROW()-4)</f>
        <v/>
      </c>
      <c r="B268" s="26"/>
      <c r="C268" s="27" t="str">
        <f aca="false">IF(B268="","",CHOOSE(WEEKDAY(B268,2),"Lundi","Mardi","Mercredi","Jeudi","Vendredi","Samedi","Dimanche"))</f>
        <v/>
      </c>
      <c r="D268" s="28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5" t="str">
        <f aca="false">IF(B268="","",OR(AND(H268="Achat",I268="Haussier"),AND(H268="Vente",I268="Baissier"))*1+OR(AND(H268="Achat",J268="Discount"),AND(H268="Vente",J268="Premium"))*1+AND(K268&lt;&gt;"",K268&lt;&gt;"Aucune")*1+OR(L268="CHoCH",L268="BOS")*1+(M268="Oui")*1+OR(G268="Londres",G268="New York")*1+(O268="Non")*1)</f>
        <v/>
      </c>
      <c r="Q268" s="27" t="str">
        <f aca="false">IF(P268="","",IF(P268=7,"A+",IF(P268&gt;=5,"B","C")))</f>
        <v/>
      </c>
      <c r="R268" s="29"/>
      <c r="S268" s="29"/>
      <c r="T268" s="27" t="str">
        <f aca="false">IF(OR(R268="",S268=""),"",R268+(R268-S268)*Paramètres!$B$6)</f>
        <v/>
      </c>
      <c r="U268" s="29"/>
      <c r="V268" s="27" t="str">
        <f aca="false">IF(OR(R268="",S268=""),"",ABS(R268-S268))</f>
        <v/>
      </c>
      <c r="W268" s="30" t="str">
        <f aca="false">IF(OR(U268="",V268="",N(V268)=0),"",ABS(U268-R268)/V268)</f>
        <v/>
      </c>
      <c r="X268" s="31"/>
      <c r="Y268" s="29"/>
      <c r="Z268" s="32"/>
      <c r="AA268" s="33" t="str">
        <f aca="false">IF(Y268="","",IF(Y268="Stop",-1,IF(Y268="BE",0,IF(Y268="TP1 + BE",Paramètres!$B$7*Paramètres!$B$6,IF(Y268="TP1 (100 %)",Paramètres!$B$6,IF(Y268="TP2",Paramètres!$B$7*Paramètres!$B$6+(1-Paramètres!$B$7)*N(W268),IF(Y268="Sortie manuelle",N(Z268),"")))))))</f>
        <v/>
      </c>
      <c r="AB268" s="34" t="str">
        <f aca="false">IF(AA268="","",AA268*IF(X268="",Paramètres!$B$5,X268))</f>
        <v/>
      </c>
      <c r="AC268" s="35" t="str">
        <f aca="false">IF(AB268="","",Paramètres!$B$4*(1+SUM(AB$5:AB268)))</f>
        <v/>
      </c>
      <c r="AD268" s="29"/>
      <c r="AE268" s="29"/>
      <c r="AF268" s="29"/>
      <c r="AG268" s="36"/>
      <c r="AH268" s="36"/>
      <c r="AI268" s="33" t="str">
        <f aca="false">IF(AA268="","",SUM(AA$5:AA268))</f>
        <v/>
      </c>
      <c r="AJ268" s="33" t="str">
        <f aca="false">IF(AI268="","",MAX(AI268,MAX(AJ$5:AJ267),0))</f>
        <v/>
      </c>
      <c r="AK268" s="33" t="str">
        <f aca="false">IF(AI268="","",AI268-AJ268)</f>
        <v/>
      </c>
      <c r="AL268" s="25" t="str">
        <f aca="false">IF(AA268="","",IF(AA268&lt;0,N(AL267)+1,0))</f>
        <v/>
      </c>
      <c r="AM268" s="37" t="str">
        <f aca="false">IF(B268="","",B268-WEEKDAY(B268,2)+1)</f>
        <v/>
      </c>
    </row>
    <row r="269" customFormat="false" ht="15" hidden="false" customHeight="false" outlineLevel="0" collapsed="false">
      <c r="A269" s="25" t="str">
        <f aca="false">IF(B269="","",ROW()-4)</f>
        <v/>
      </c>
      <c r="B269" s="26"/>
      <c r="C269" s="27" t="str">
        <f aca="false">IF(B269="","",CHOOSE(WEEKDAY(B269,2),"Lundi","Mardi","Mercredi","Jeudi","Vendredi","Samedi","Dimanche"))</f>
        <v/>
      </c>
      <c r="D269" s="28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5" t="str">
        <f aca="false">IF(B269="","",OR(AND(H269="Achat",I269="Haussier"),AND(H269="Vente",I269="Baissier"))*1+OR(AND(H269="Achat",J269="Discount"),AND(H269="Vente",J269="Premium"))*1+AND(K269&lt;&gt;"",K269&lt;&gt;"Aucune")*1+OR(L269="CHoCH",L269="BOS")*1+(M269="Oui")*1+OR(G269="Londres",G269="New York")*1+(O269="Non")*1)</f>
        <v/>
      </c>
      <c r="Q269" s="27" t="str">
        <f aca="false">IF(P269="","",IF(P269=7,"A+",IF(P269&gt;=5,"B","C")))</f>
        <v/>
      </c>
      <c r="R269" s="29"/>
      <c r="S269" s="29"/>
      <c r="T269" s="27" t="str">
        <f aca="false">IF(OR(R269="",S269=""),"",R269+(R269-S269)*Paramètres!$B$6)</f>
        <v/>
      </c>
      <c r="U269" s="29"/>
      <c r="V269" s="27" t="str">
        <f aca="false">IF(OR(R269="",S269=""),"",ABS(R269-S269))</f>
        <v/>
      </c>
      <c r="W269" s="30" t="str">
        <f aca="false">IF(OR(U269="",V269="",N(V269)=0),"",ABS(U269-R269)/V269)</f>
        <v/>
      </c>
      <c r="X269" s="31"/>
      <c r="Y269" s="29"/>
      <c r="Z269" s="32"/>
      <c r="AA269" s="33" t="str">
        <f aca="false">IF(Y269="","",IF(Y269="Stop",-1,IF(Y269="BE",0,IF(Y269="TP1 + BE",Paramètres!$B$7*Paramètres!$B$6,IF(Y269="TP1 (100 %)",Paramètres!$B$6,IF(Y269="TP2",Paramètres!$B$7*Paramètres!$B$6+(1-Paramètres!$B$7)*N(W269),IF(Y269="Sortie manuelle",N(Z269),"")))))))</f>
        <v/>
      </c>
      <c r="AB269" s="34" t="str">
        <f aca="false">IF(AA269="","",AA269*IF(X269="",Paramètres!$B$5,X269))</f>
        <v/>
      </c>
      <c r="AC269" s="35" t="str">
        <f aca="false">IF(AB269="","",Paramètres!$B$4*(1+SUM(AB$5:AB269)))</f>
        <v/>
      </c>
      <c r="AD269" s="29"/>
      <c r="AE269" s="29"/>
      <c r="AF269" s="29"/>
      <c r="AG269" s="36"/>
      <c r="AH269" s="36"/>
      <c r="AI269" s="33" t="str">
        <f aca="false">IF(AA269="","",SUM(AA$5:AA269))</f>
        <v/>
      </c>
      <c r="AJ269" s="33" t="str">
        <f aca="false">IF(AI269="","",MAX(AI269,MAX(AJ$5:AJ268),0))</f>
        <v/>
      </c>
      <c r="AK269" s="33" t="str">
        <f aca="false">IF(AI269="","",AI269-AJ269)</f>
        <v/>
      </c>
      <c r="AL269" s="25" t="str">
        <f aca="false">IF(AA269="","",IF(AA269&lt;0,N(AL268)+1,0))</f>
        <v/>
      </c>
      <c r="AM269" s="37" t="str">
        <f aca="false">IF(B269="","",B269-WEEKDAY(B269,2)+1)</f>
        <v/>
      </c>
    </row>
    <row r="270" customFormat="false" ht="15" hidden="false" customHeight="false" outlineLevel="0" collapsed="false">
      <c r="A270" s="25" t="str">
        <f aca="false">IF(B270="","",ROW()-4)</f>
        <v/>
      </c>
      <c r="B270" s="26"/>
      <c r="C270" s="27" t="str">
        <f aca="false">IF(B270="","",CHOOSE(WEEKDAY(B270,2),"Lundi","Mardi","Mercredi","Jeudi","Vendredi","Samedi","Dimanche"))</f>
        <v/>
      </c>
      <c r="D270" s="28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5" t="str">
        <f aca="false">IF(B270="","",OR(AND(H270="Achat",I270="Haussier"),AND(H270="Vente",I270="Baissier"))*1+OR(AND(H270="Achat",J270="Discount"),AND(H270="Vente",J270="Premium"))*1+AND(K270&lt;&gt;"",K270&lt;&gt;"Aucune")*1+OR(L270="CHoCH",L270="BOS")*1+(M270="Oui")*1+OR(G270="Londres",G270="New York")*1+(O270="Non")*1)</f>
        <v/>
      </c>
      <c r="Q270" s="27" t="str">
        <f aca="false">IF(P270="","",IF(P270=7,"A+",IF(P270&gt;=5,"B","C")))</f>
        <v/>
      </c>
      <c r="R270" s="29"/>
      <c r="S270" s="29"/>
      <c r="T270" s="27" t="str">
        <f aca="false">IF(OR(R270="",S270=""),"",R270+(R270-S270)*Paramètres!$B$6)</f>
        <v/>
      </c>
      <c r="U270" s="29"/>
      <c r="V270" s="27" t="str">
        <f aca="false">IF(OR(R270="",S270=""),"",ABS(R270-S270))</f>
        <v/>
      </c>
      <c r="W270" s="30" t="str">
        <f aca="false">IF(OR(U270="",V270="",N(V270)=0),"",ABS(U270-R270)/V270)</f>
        <v/>
      </c>
      <c r="X270" s="31"/>
      <c r="Y270" s="29"/>
      <c r="Z270" s="32"/>
      <c r="AA270" s="33" t="str">
        <f aca="false">IF(Y270="","",IF(Y270="Stop",-1,IF(Y270="BE",0,IF(Y270="TP1 + BE",Paramètres!$B$7*Paramètres!$B$6,IF(Y270="TP1 (100 %)",Paramètres!$B$6,IF(Y270="TP2",Paramètres!$B$7*Paramètres!$B$6+(1-Paramètres!$B$7)*N(W270),IF(Y270="Sortie manuelle",N(Z270),"")))))))</f>
        <v/>
      </c>
      <c r="AB270" s="34" t="str">
        <f aca="false">IF(AA270="","",AA270*IF(X270="",Paramètres!$B$5,X270))</f>
        <v/>
      </c>
      <c r="AC270" s="35" t="str">
        <f aca="false">IF(AB270="","",Paramètres!$B$4*(1+SUM(AB$5:AB270)))</f>
        <v/>
      </c>
      <c r="AD270" s="29"/>
      <c r="AE270" s="29"/>
      <c r="AF270" s="29"/>
      <c r="AG270" s="36"/>
      <c r="AH270" s="36"/>
      <c r="AI270" s="33" t="str">
        <f aca="false">IF(AA270="","",SUM(AA$5:AA270))</f>
        <v/>
      </c>
      <c r="AJ270" s="33" t="str">
        <f aca="false">IF(AI270="","",MAX(AI270,MAX(AJ$5:AJ269),0))</f>
        <v/>
      </c>
      <c r="AK270" s="33" t="str">
        <f aca="false">IF(AI270="","",AI270-AJ270)</f>
        <v/>
      </c>
      <c r="AL270" s="25" t="str">
        <f aca="false">IF(AA270="","",IF(AA270&lt;0,N(AL269)+1,0))</f>
        <v/>
      </c>
      <c r="AM270" s="37" t="str">
        <f aca="false">IF(B270="","",B270-WEEKDAY(B270,2)+1)</f>
        <v/>
      </c>
    </row>
    <row r="271" customFormat="false" ht="15" hidden="false" customHeight="false" outlineLevel="0" collapsed="false">
      <c r="A271" s="25" t="str">
        <f aca="false">IF(B271="","",ROW()-4)</f>
        <v/>
      </c>
      <c r="B271" s="26"/>
      <c r="C271" s="27" t="str">
        <f aca="false">IF(B271="","",CHOOSE(WEEKDAY(B271,2),"Lundi","Mardi","Mercredi","Jeudi","Vendredi","Samedi","Dimanche"))</f>
        <v/>
      </c>
      <c r="D271" s="28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5" t="str">
        <f aca="false">IF(B271="","",OR(AND(H271="Achat",I271="Haussier"),AND(H271="Vente",I271="Baissier"))*1+OR(AND(H271="Achat",J271="Discount"),AND(H271="Vente",J271="Premium"))*1+AND(K271&lt;&gt;"",K271&lt;&gt;"Aucune")*1+OR(L271="CHoCH",L271="BOS")*1+(M271="Oui")*1+OR(G271="Londres",G271="New York")*1+(O271="Non")*1)</f>
        <v/>
      </c>
      <c r="Q271" s="27" t="str">
        <f aca="false">IF(P271="","",IF(P271=7,"A+",IF(P271&gt;=5,"B","C")))</f>
        <v/>
      </c>
      <c r="R271" s="29"/>
      <c r="S271" s="29"/>
      <c r="T271" s="27" t="str">
        <f aca="false">IF(OR(R271="",S271=""),"",R271+(R271-S271)*Paramètres!$B$6)</f>
        <v/>
      </c>
      <c r="U271" s="29"/>
      <c r="V271" s="27" t="str">
        <f aca="false">IF(OR(R271="",S271=""),"",ABS(R271-S271))</f>
        <v/>
      </c>
      <c r="W271" s="30" t="str">
        <f aca="false">IF(OR(U271="",V271="",N(V271)=0),"",ABS(U271-R271)/V271)</f>
        <v/>
      </c>
      <c r="X271" s="31"/>
      <c r="Y271" s="29"/>
      <c r="Z271" s="32"/>
      <c r="AA271" s="33" t="str">
        <f aca="false">IF(Y271="","",IF(Y271="Stop",-1,IF(Y271="BE",0,IF(Y271="TP1 + BE",Paramètres!$B$7*Paramètres!$B$6,IF(Y271="TP1 (100 %)",Paramètres!$B$6,IF(Y271="TP2",Paramètres!$B$7*Paramètres!$B$6+(1-Paramètres!$B$7)*N(W271),IF(Y271="Sortie manuelle",N(Z271),"")))))))</f>
        <v/>
      </c>
      <c r="AB271" s="34" t="str">
        <f aca="false">IF(AA271="","",AA271*IF(X271="",Paramètres!$B$5,X271))</f>
        <v/>
      </c>
      <c r="AC271" s="35" t="str">
        <f aca="false">IF(AB271="","",Paramètres!$B$4*(1+SUM(AB$5:AB271)))</f>
        <v/>
      </c>
      <c r="AD271" s="29"/>
      <c r="AE271" s="29"/>
      <c r="AF271" s="29"/>
      <c r="AG271" s="36"/>
      <c r="AH271" s="36"/>
      <c r="AI271" s="33" t="str">
        <f aca="false">IF(AA271="","",SUM(AA$5:AA271))</f>
        <v/>
      </c>
      <c r="AJ271" s="33" t="str">
        <f aca="false">IF(AI271="","",MAX(AI271,MAX(AJ$5:AJ270),0))</f>
        <v/>
      </c>
      <c r="AK271" s="33" t="str">
        <f aca="false">IF(AI271="","",AI271-AJ271)</f>
        <v/>
      </c>
      <c r="AL271" s="25" t="str">
        <f aca="false">IF(AA271="","",IF(AA271&lt;0,N(AL270)+1,0))</f>
        <v/>
      </c>
      <c r="AM271" s="37" t="str">
        <f aca="false">IF(B271="","",B271-WEEKDAY(B271,2)+1)</f>
        <v/>
      </c>
    </row>
    <row r="272" customFormat="false" ht="15" hidden="false" customHeight="false" outlineLevel="0" collapsed="false">
      <c r="A272" s="25" t="str">
        <f aca="false">IF(B272="","",ROW()-4)</f>
        <v/>
      </c>
      <c r="B272" s="26"/>
      <c r="C272" s="27" t="str">
        <f aca="false">IF(B272="","",CHOOSE(WEEKDAY(B272,2),"Lundi","Mardi","Mercredi","Jeudi","Vendredi","Samedi","Dimanche"))</f>
        <v/>
      </c>
      <c r="D272" s="28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5" t="str">
        <f aca="false">IF(B272="","",OR(AND(H272="Achat",I272="Haussier"),AND(H272="Vente",I272="Baissier"))*1+OR(AND(H272="Achat",J272="Discount"),AND(H272="Vente",J272="Premium"))*1+AND(K272&lt;&gt;"",K272&lt;&gt;"Aucune")*1+OR(L272="CHoCH",L272="BOS")*1+(M272="Oui")*1+OR(G272="Londres",G272="New York")*1+(O272="Non")*1)</f>
        <v/>
      </c>
      <c r="Q272" s="27" t="str">
        <f aca="false">IF(P272="","",IF(P272=7,"A+",IF(P272&gt;=5,"B","C")))</f>
        <v/>
      </c>
      <c r="R272" s="29"/>
      <c r="S272" s="29"/>
      <c r="T272" s="27" t="str">
        <f aca="false">IF(OR(R272="",S272=""),"",R272+(R272-S272)*Paramètres!$B$6)</f>
        <v/>
      </c>
      <c r="U272" s="29"/>
      <c r="V272" s="27" t="str">
        <f aca="false">IF(OR(R272="",S272=""),"",ABS(R272-S272))</f>
        <v/>
      </c>
      <c r="W272" s="30" t="str">
        <f aca="false">IF(OR(U272="",V272="",N(V272)=0),"",ABS(U272-R272)/V272)</f>
        <v/>
      </c>
      <c r="X272" s="31"/>
      <c r="Y272" s="29"/>
      <c r="Z272" s="32"/>
      <c r="AA272" s="33" t="str">
        <f aca="false">IF(Y272="","",IF(Y272="Stop",-1,IF(Y272="BE",0,IF(Y272="TP1 + BE",Paramètres!$B$7*Paramètres!$B$6,IF(Y272="TP1 (100 %)",Paramètres!$B$6,IF(Y272="TP2",Paramètres!$B$7*Paramètres!$B$6+(1-Paramètres!$B$7)*N(W272),IF(Y272="Sortie manuelle",N(Z272),"")))))))</f>
        <v/>
      </c>
      <c r="AB272" s="34" t="str">
        <f aca="false">IF(AA272="","",AA272*IF(X272="",Paramètres!$B$5,X272))</f>
        <v/>
      </c>
      <c r="AC272" s="35" t="str">
        <f aca="false">IF(AB272="","",Paramètres!$B$4*(1+SUM(AB$5:AB272)))</f>
        <v/>
      </c>
      <c r="AD272" s="29"/>
      <c r="AE272" s="29"/>
      <c r="AF272" s="29"/>
      <c r="AG272" s="36"/>
      <c r="AH272" s="36"/>
      <c r="AI272" s="33" t="str">
        <f aca="false">IF(AA272="","",SUM(AA$5:AA272))</f>
        <v/>
      </c>
      <c r="AJ272" s="33" t="str">
        <f aca="false">IF(AI272="","",MAX(AI272,MAX(AJ$5:AJ271),0))</f>
        <v/>
      </c>
      <c r="AK272" s="33" t="str">
        <f aca="false">IF(AI272="","",AI272-AJ272)</f>
        <v/>
      </c>
      <c r="AL272" s="25" t="str">
        <f aca="false">IF(AA272="","",IF(AA272&lt;0,N(AL271)+1,0))</f>
        <v/>
      </c>
      <c r="AM272" s="37" t="str">
        <f aca="false">IF(B272="","",B272-WEEKDAY(B272,2)+1)</f>
        <v/>
      </c>
    </row>
    <row r="273" customFormat="false" ht="15" hidden="false" customHeight="false" outlineLevel="0" collapsed="false">
      <c r="A273" s="25" t="str">
        <f aca="false">IF(B273="","",ROW()-4)</f>
        <v/>
      </c>
      <c r="B273" s="26"/>
      <c r="C273" s="27" t="str">
        <f aca="false">IF(B273="","",CHOOSE(WEEKDAY(B273,2),"Lundi","Mardi","Mercredi","Jeudi","Vendredi","Samedi","Dimanche"))</f>
        <v/>
      </c>
      <c r="D273" s="28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5" t="str">
        <f aca="false">IF(B273="","",OR(AND(H273="Achat",I273="Haussier"),AND(H273="Vente",I273="Baissier"))*1+OR(AND(H273="Achat",J273="Discount"),AND(H273="Vente",J273="Premium"))*1+AND(K273&lt;&gt;"",K273&lt;&gt;"Aucune")*1+OR(L273="CHoCH",L273="BOS")*1+(M273="Oui")*1+OR(G273="Londres",G273="New York")*1+(O273="Non")*1)</f>
        <v/>
      </c>
      <c r="Q273" s="27" t="str">
        <f aca="false">IF(P273="","",IF(P273=7,"A+",IF(P273&gt;=5,"B","C")))</f>
        <v/>
      </c>
      <c r="R273" s="29"/>
      <c r="S273" s="29"/>
      <c r="T273" s="27" t="str">
        <f aca="false">IF(OR(R273="",S273=""),"",R273+(R273-S273)*Paramètres!$B$6)</f>
        <v/>
      </c>
      <c r="U273" s="29"/>
      <c r="V273" s="27" t="str">
        <f aca="false">IF(OR(R273="",S273=""),"",ABS(R273-S273))</f>
        <v/>
      </c>
      <c r="W273" s="30" t="str">
        <f aca="false">IF(OR(U273="",V273="",N(V273)=0),"",ABS(U273-R273)/V273)</f>
        <v/>
      </c>
      <c r="X273" s="31"/>
      <c r="Y273" s="29"/>
      <c r="Z273" s="32"/>
      <c r="AA273" s="33" t="str">
        <f aca="false">IF(Y273="","",IF(Y273="Stop",-1,IF(Y273="BE",0,IF(Y273="TP1 + BE",Paramètres!$B$7*Paramètres!$B$6,IF(Y273="TP1 (100 %)",Paramètres!$B$6,IF(Y273="TP2",Paramètres!$B$7*Paramètres!$B$6+(1-Paramètres!$B$7)*N(W273),IF(Y273="Sortie manuelle",N(Z273),"")))))))</f>
        <v/>
      </c>
      <c r="AB273" s="34" t="str">
        <f aca="false">IF(AA273="","",AA273*IF(X273="",Paramètres!$B$5,X273))</f>
        <v/>
      </c>
      <c r="AC273" s="35" t="str">
        <f aca="false">IF(AB273="","",Paramètres!$B$4*(1+SUM(AB$5:AB273)))</f>
        <v/>
      </c>
      <c r="AD273" s="29"/>
      <c r="AE273" s="29"/>
      <c r="AF273" s="29"/>
      <c r="AG273" s="36"/>
      <c r="AH273" s="36"/>
      <c r="AI273" s="33" t="str">
        <f aca="false">IF(AA273="","",SUM(AA$5:AA273))</f>
        <v/>
      </c>
      <c r="AJ273" s="33" t="str">
        <f aca="false">IF(AI273="","",MAX(AI273,MAX(AJ$5:AJ272),0))</f>
        <v/>
      </c>
      <c r="AK273" s="33" t="str">
        <f aca="false">IF(AI273="","",AI273-AJ273)</f>
        <v/>
      </c>
      <c r="AL273" s="25" t="str">
        <f aca="false">IF(AA273="","",IF(AA273&lt;0,N(AL272)+1,0))</f>
        <v/>
      </c>
      <c r="AM273" s="37" t="str">
        <f aca="false">IF(B273="","",B273-WEEKDAY(B273,2)+1)</f>
        <v/>
      </c>
    </row>
    <row r="274" customFormat="false" ht="15" hidden="false" customHeight="false" outlineLevel="0" collapsed="false">
      <c r="A274" s="25" t="str">
        <f aca="false">IF(B274="","",ROW()-4)</f>
        <v/>
      </c>
      <c r="B274" s="26"/>
      <c r="C274" s="27" t="str">
        <f aca="false">IF(B274="","",CHOOSE(WEEKDAY(B274,2),"Lundi","Mardi","Mercredi","Jeudi","Vendredi","Samedi","Dimanche"))</f>
        <v/>
      </c>
      <c r="D274" s="28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5" t="str">
        <f aca="false">IF(B274="","",OR(AND(H274="Achat",I274="Haussier"),AND(H274="Vente",I274="Baissier"))*1+OR(AND(H274="Achat",J274="Discount"),AND(H274="Vente",J274="Premium"))*1+AND(K274&lt;&gt;"",K274&lt;&gt;"Aucune")*1+OR(L274="CHoCH",L274="BOS")*1+(M274="Oui")*1+OR(G274="Londres",G274="New York")*1+(O274="Non")*1)</f>
        <v/>
      </c>
      <c r="Q274" s="27" t="str">
        <f aca="false">IF(P274="","",IF(P274=7,"A+",IF(P274&gt;=5,"B","C")))</f>
        <v/>
      </c>
      <c r="R274" s="29"/>
      <c r="S274" s="29"/>
      <c r="T274" s="27" t="str">
        <f aca="false">IF(OR(R274="",S274=""),"",R274+(R274-S274)*Paramètres!$B$6)</f>
        <v/>
      </c>
      <c r="U274" s="29"/>
      <c r="V274" s="27" t="str">
        <f aca="false">IF(OR(R274="",S274=""),"",ABS(R274-S274))</f>
        <v/>
      </c>
      <c r="W274" s="30" t="str">
        <f aca="false">IF(OR(U274="",V274="",N(V274)=0),"",ABS(U274-R274)/V274)</f>
        <v/>
      </c>
      <c r="X274" s="31"/>
      <c r="Y274" s="29"/>
      <c r="Z274" s="32"/>
      <c r="AA274" s="33" t="str">
        <f aca="false">IF(Y274="","",IF(Y274="Stop",-1,IF(Y274="BE",0,IF(Y274="TP1 + BE",Paramètres!$B$7*Paramètres!$B$6,IF(Y274="TP1 (100 %)",Paramètres!$B$6,IF(Y274="TP2",Paramètres!$B$7*Paramètres!$B$6+(1-Paramètres!$B$7)*N(W274),IF(Y274="Sortie manuelle",N(Z274),"")))))))</f>
        <v/>
      </c>
      <c r="AB274" s="34" t="str">
        <f aca="false">IF(AA274="","",AA274*IF(X274="",Paramètres!$B$5,X274))</f>
        <v/>
      </c>
      <c r="AC274" s="35" t="str">
        <f aca="false">IF(AB274="","",Paramètres!$B$4*(1+SUM(AB$5:AB274)))</f>
        <v/>
      </c>
      <c r="AD274" s="29"/>
      <c r="AE274" s="29"/>
      <c r="AF274" s="29"/>
      <c r="AG274" s="36"/>
      <c r="AH274" s="36"/>
      <c r="AI274" s="33" t="str">
        <f aca="false">IF(AA274="","",SUM(AA$5:AA274))</f>
        <v/>
      </c>
      <c r="AJ274" s="33" t="str">
        <f aca="false">IF(AI274="","",MAX(AI274,MAX(AJ$5:AJ273),0))</f>
        <v/>
      </c>
      <c r="AK274" s="33" t="str">
        <f aca="false">IF(AI274="","",AI274-AJ274)</f>
        <v/>
      </c>
      <c r="AL274" s="25" t="str">
        <f aca="false">IF(AA274="","",IF(AA274&lt;0,N(AL273)+1,0))</f>
        <v/>
      </c>
      <c r="AM274" s="37" t="str">
        <f aca="false">IF(B274="","",B274-WEEKDAY(B274,2)+1)</f>
        <v/>
      </c>
    </row>
    <row r="275" customFormat="false" ht="15" hidden="false" customHeight="false" outlineLevel="0" collapsed="false">
      <c r="A275" s="25" t="str">
        <f aca="false">IF(B275="","",ROW()-4)</f>
        <v/>
      </c>
      <c r="B275" s="26"/>
      <c r="C275" s="27" t="str">
        <f aca="false">IF(B275="","",CHOOSE(WEEKDAY(B275,2),"Lundi","Mardi","Mercredi","Jeudi","Vendredi","Samedi","Dimanche"))</f>
        <v/>
      </c>
      <c r="D275" s="28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5" t="str">
        <f aca="false">IF(B275="","",OR(AND(H275="Achat",I275="Haussier"),AND(H275="Vente",I275="Baissier"))*1+OR(AND(H275="Achat",J275="Discount"),AND(H275="Vente",J275="Premium"))*1+AND(K275&lt;&gt;"",K275&lt;&gt;"Aucune")*1+OR(L275="CHoCH",L275="BOS")*1+(M275="Oui")*1+OR(G275="Londres",G275="New York")*1+(O275="Non")*1)</f>
        <v/>
      </c>
      <c r="Q275" s="27" t="str">
        <f aca="false">IF(P275="","",IF(P275=7,"A+",IF(P275&gt;=5,"B","C")))</f>
        <v/>
      </c>
      <c r="R275" s="29"/>
      <c r="S275" s="29"/>
      <c r="T275" s="27" t="str">
        <f aca="false">IF(OR(R275="",S275=""),"",R275+(R275-S275)*Paramètres!$B$6)</f>
        <v/>
      </c>
      <c r="U275" s="29"/>
      <c r="V275" s="27" t="str">
        <f aca="false">IF(OR(R275="",S275=""),"",ABS(R275-S275))</f>
        <v/>
      </c>
      <c r="W275" s="30" t="str">
        <f aca="false">IF(OR(U275="",V275="",N(V275)=0),"",ABS(U275-R275)/V275)</f>
        <v/>
      </c>
      <c r="X275" s="31"/>
      <c r="Y275" s="29"/>
      <c r="Z275" s="32"/>
      <c r="AA275" s="33" t="str">
        <f aca="false">IF(Y275="","",IF(Y275="Stop",-1,IF(Y275="BE",0,IF(Y275="TP1 + BE",Paramètres!$B$7*Paramètres!$B$6,IF(Y275="TP1 (100 %)",Paramètres!$B$6,IF(Y275="TP2",Paramètres!$B$7*Paramètres!$B$6+(1-Paramètres!$B$7)*N(W275),IF(Y275="Sortie manuelle",N(Z275),"")))))))</f>
        <v/>
      </c>
      <c r="AB275" s="34" t="str">
        <f aca="false">IF(AA275="","",AA275*IF(X275="",Paramètres!$B$5,X275))</f>
        <v/>
      </c>
      <c r="AC275" s="35" t="str">
        <f aca="false">IF(AB275="","",Paramètres!$B$4*(1+SUM(AB$5:AB275)))</f>
        <v/>
      </c>
      <c r="AD275" s="29"/>
      <c r="AE275" s="29"/>
      <c r="AF275" s="29"/>
      <c r="AG275" s="36"/>
      <c r="AH275" s="36"/>
      <c r="AI275" s="33" t="str">
        <f aca="false">IF(AA275="","",SUM(AA$5:AA275))</f>
        <v/>
      </c>
      <c r="AJ275" s="33" t="str">
        <f aca="false">IF(AI275="","",MAX(AI275,MAX(AJ$5:AJ274),0))</f>
        <v/>
      </c>
      <c r="AK275" s="33" t="str">
        <f aca="false">IF(AI275="","",AI275-AJ275)</f>
        <v/>
      </c>
      <c r="AL275" s="25" t="str">
        <f aca="false">IF(AA275="","",IF(AA275&lt;0,N(AL274)+1,0))</f>
        <v/>
      </c>
      <c r="AM275" s="37" t="str">
        <f aca="false">IF(B275="","",B275-WEEKDAY(B275,2)+1)</f>
        <v/>
      </c>
    </row>
    <row r="276" customFormat="false" ht="15" hidden="false" customHeight="false" outlineLevel="0" collapsed="false">
      <c r="A276" s="25" t="str">
        <f aca="false">IF(B276="","",ROW()-4)</f>
        <v/>
      </c>
      <c r="B276" s="26"/>
      <c r="C276" s="27" t="str">
        <f aca="false">IF(B276="","",CHOOSE(WEEKDAY(B276,2),"Lundi","Mardi","Mercredi","Jeudi","Vendredi","Samedi","Dimanche"))</f>
        <v/>
      </c>
      <c r="D276" s="28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5" t="str">
        <f aca="false">IF(B276="","",OR(AND(H276="Achat",I276="Haussier"),AND(H276="Vente",I276="Baissier"))*1+OR(AND(H276="Achat",J276="Discount"),AND(H276="Vente",J276="Premium"))*1+AND(K276&lt;&gt;"",K276&lt;&gt;"Aucune")*1+OR(L276="CHoCH",L276="BOS")*1+(M276="Oui")*1+OR(G276="Londres",G276="New York")*1+(O276="Non")*1)</f>
        <v/>
      </c>
      <c r="Q276" s="27" t="str">
        <f aca="false">IF(P276="","",IF(P276=7,"A+",IF(P276&gt;=5,"B","C")))</f>
        <v/>
      </c>
      <c r="R276" s="29"/>
      <c r="S276" s="29"/>
      <c r="T276" s="27" t="str">
        <f aca="false">IF(OR(R276="",S276=""),"",R276+(R276-S276)*Paramètres!$B$6)</f>
        <v/>
      </c>
      <c r="U276" s="29"/>
      <c r="V276" s="27" t="str">
        <f aca="false">IF(OR(R276="",S276=""),"",ABS(R276-S276))</f>
        <v/>
      </c>
      <c r="W276" s="30" t="str">
        <f aca="false">IF(OR(U276="",V276="",N(V276)=0),"",ABS(U276-R276)/V276)</f>
        <v/>
      </c>
      <c r="X276" s="31"/>
      <c r="Y276" s="29"/>
      <c r="Z276" s="32"/>
      <c r="AA276" s="33" t="str">
        <f aca="false">IF(Y276="","",IF(Y276="Stop",-1,IF(Y276="BE",0,IF(Y276="TP1 + BE",Paramètres!$B$7*Paramètres!$B$6,IF(Y276="TP1 (100 %)",Paramètres!$B$6,IF(Y276="TP2",Paramètres!$B$7*Paramètres!$B$6+(1-Paramètres!$B$7)*N(W276),IF(Y276="Sortie manuelle",N(Z276),"")))))))</f>
        <v/>
      </c>
      <c r="AB276" s="34" t="str">
        <f aca="false">IF(AA276="","",AA276*IF(X276="",Paramètres!$B$5,X276))</f>
        <v/>
      </c>
      <c r="AC276" s="35" t="str">
        <f aca="false">IF(AB276="","",Paramètres!$B$4*(1+SUM(AB$5:AB276)))</f>
        <v/>
      </c>
      <c r="AD276" s="29"/>
      <c r="AE276" s="29"/>
      <c r="AF276" s="29"/>
      <c r="AG276" s="36"/>
      <c r="AH276" s="36"/>
      <c r="AI276" s="33" t="str">
        <f aca="false">IF(AA276="","",SUM(AA$5:AA276))</f>
        <v/>
      </c>
      <c r="AJ276" s="33" t="str">
        <f aca="false">IF(AI276="","",MAX(AI276,MAX(AJ$5:AJ275),0))</f>
        <v/>
      </c>
      <c r="AK276" s="33" t="str">
        <f aca="false">IF(AI276="","",AI276-AJ276)</f>
        <v/>
      </c>
      <c r="AL276" s="25" t="str">
        <f aca="false">IF(AA276="","",IF(AA276&lt;0,N(AL275)+1,0))</f>
        <v/>
      </c>
      <c r="AM276" s="37" t="str">
        <f aca="false">IF(B276="","",B276-WEEKDAY(B276,2)+1)</f>
        <v/>
      </c>
    </row>
    <row r="277" customFormat="false" ht="15" hidden="false" customHeight="false" outlineLevel="0" collapsed="false">
      <c r="A277" s="25" t="str">
        <f aca="false">IF(B277="","",ROW()-4)</f>
        <v/>
      </c>
      <c r="B277" s="26"/>
      <c r="C277" s="27" t="str">
        <f aca="false">IF(B277="","",CHOOSE(WEEKDAY(B277,2),"Lundi","Mardi","Mercredi","Jeudi","Vendredi","Samedi","Dimanche"))</f>
        <v/>
      </c>
      <c r="D277" s="28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5" t="str">
        <f aca="false">IF(B277="","",OR(AND(H277="Achat",I277="Haussier"),AND(H277="Vente",I277="Baissier"))*1+OR(AND(H277="Achat",J277="Discount"),AND(H277="Vente",J277="Premium"))*1+AND(K277&lt;&gt;"",K277&lt;&gt;"Aucune")*1+OR(L277="CHoCH",L277="BOS")*1+(M277="Oui")*1+OR(G277="Londres",G277="New York")*1+(O277="Non")*1)</f>
        <v/>
      </c>
      <c r="Q277" s="27" t="str">
        <f aca="false">IF(P277="","",IF(P277=7,"A+",IF(P277&gt;=5,"B","C")))</f>
        <v/>
      </c>
      <c r="R277" s="29"/>
      <c r="S277" s="29"/>
      <c r="T277" s="27" t="str">
        <f aca="false">IF(OR(R277="",S277=""),"",R277+(R277-S277)*Paramètres!$B$6)</f>
        <v/>
      </c>
      <c r="U277" s="29"/>
      <c r="V277" s="27" t="str">
        <f aca="false">IF(OR(R277="",S277=""),"",ABS(R277-S277))</f>
        <v/>
      </c>
      <c r="W277" s="30" t="str">
        <f aca="false">IF(OR(U277="",V277="",N(V277)=0),"",ABS(U277-R277)/V277)</f>
        <v/>
      </c>
      <c r="X277" s="31"/>
      <c r="Y277" s="29"/>
      <c r="Z277" s="32"/>
      <c r="AA277" s="33" t="str">
        <f aca="false">IF(Y277="","",IF(Y277="Stop",-1,IF(Y277="BE",0,IF(Y277="TP1 + BE",Paramètres!$B$7*Paramètres!$B$6,IF(Y277="TP1 (100 %)",Paramètres!$B$6,IF(Y277="TP2",Paramètres!$B$7*Paramètres!$B$6+(1-Paramètres!$B$7)*N(W277),IF(Y277="Sortie manuelle",N(Z277),"")))))))</f>
        <v/>
      </c>
      <c r="AB277" s="34" t="str">
        <f aca="false">IF(AA277="","",AA277*IF(X277="",Paramètres!$B$5,X277))</f>
        <v/>
      </c>
      <c r="AC277" s="35" t="str">
        <f aca="false">IF(AB277="","",Paramètres!$B$4*(1+SUM(AB$5:AB277)))</f>
        <v/>
      </c>
      <c r="AD277" s="29"/>
      <c r="AE277" s="29"/>
      <c r="AF277" s="29"/>
      <c r="AG277" s="36"/>
      <c r="AH277" s="36"/>
      <c r="AI277" s="33" t="str">
        <f aca="false">IF(AA277="","",SUM(AA$5:AA277))</f>
        <v/>
      </c>
      <c r="AJ277" s="33" t="str">
        <f aca="false">IF(AI277="","",MAX(AI277,MAX(AJ$5:AJ276),0))</f>
        <v/>
      </c>
      <c r="AK277" s="33" t="str">
        <f aca="false">IF(AI277="","",AI277-AJ277)</f>
        <v/>
      </c>
      <c r="AL277" s="25" t="str">
        <f aca="false">IF(AA277="","",IF(AA277&lt;0,N(AL276)+1,0))</f>
        <v/>
      </c>
      <c r="AM277" s="37" t="str">
        <f aca="false">IF(B277="","",B277-WEEKDAY(B277,2)+1)</f>
        <v/>
      </c>
    </row>
    <row r="278" customFormat="false" ht="15" hidden="false" customHeight="false" outlineLevel="0" collapsed="false">
      <c r="A278" s="25" t="str">
        <f aca="false">IF(B278="","",ROW()-4)</f>
        <v/>
      </c>
      <c r="B278" s="26"/>
      <c r="C278" s="27" t="str">
        <f aca="false">IF(B278="","",CHOOSE(WEEKDAY(B278,2),"Lundi","Mardi","Mercredi","Jeudi","Vendredi","Samedi","Dimanche"))</f>
        <v/>
      </c>
      <c r="D278" s="28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5" t="str">
        <f aca="false">IF(B278="","",OR(AND(H278="Achat",I278="Haussier"),AND(H278="Vente",I278="Baissier"))*1+OR(AND(H278="Achat",J278="Discount"),AND(H278="Vente",J278="Premium"))*1+AND(K278&lt;&gt;"",K278&lt;&gt;"Aucune")*1+OR(L278="CHoCH",L278="BOS")*1+(M278="Oui")*1+OR(G278="Londres",G278="New York")*1+(O278="Non")*1)</f>
        <v/>
      </c>
      <c r="Q278" s="27" t="str">
        <f aca="false">IF(P278="","",IF(P278=7,"A+",IF(P278&gt;=5,"B","C")))</f>
        <v/>
      </c>
      <c r="R278" s="29"/>
      <c r="S278" s="29"/>
      <c r="T278" s="27" t="str">
        <f aca="false">IF(OR(R278="",S278=""),"",R278+(R278-S278)*Paramètres!$B$6)</f>
        <v/>
      </c>
      <c r="U278" s="29"/>
      <c r="V278" s="27" t="str">
        <f aca="false">IF(OR(R278="",S278=""),"",ABS(R278-S278))</f>
        <v/>
      </c>
      <c r="W278" s="30" t="str">
        <f aca="false">IF(OR(U278="",V278="",N(V278)=0),"",ABS(U278-R278)/V278)</f>
        <v/>
      </c>
      <c r="X278" s="31"/>
      <c r="Y278" s="29"/>
      <c r="Z278" s="32"/>
      <c r="AA278" s="33" t="str">
        <f aca="false">IF(Y278="","",IF(Y278="Stop",-1,IF(Y278="BE",0,IF(Y278="TP1 + BE",Paramètres!$B$7*Paramètres!$B$6,IF(Y278="TP1 (100 %)",Paramètres!$B$6,IF(Y278="TP2",Paramètres!$B$7*Paramètres!$B$6+(1-Paramètres!$B$7)*N(W278),IF(Y278="Sortie manuelle",N(Z278),"")))))))</f>
        <v/>
      </c>
      <c r="AB278" s="34" t="str">
        <f aca="false">IF(AA278="","",AA278*IF(X278="",Paramètres!$B$5,X278))</f>
        <v/>
      </c>
      <c r="AC278" s="35" t="str">
        <f aca="false">IF(AB278="","",Paramètres!$B$4*(1+SUM(AB$5:AB278)))</f>
        <v/>
      </c>
      <c r="AD278" s="29"/>
      <c r="AE278" s="29"/>
      <c r="AF278" s="29"/>
      <c r="AG278" s="36"/>
      <c r="AH278" s="36"/>
      <c r="AI278" s="33" t="str">
        <f aca="false">IF(AA278="","",SUM(AA$5:AA278))</f>
        <v/>
      </c>
      <c r="AJ278" s="33" t="str">
        <f aca="false">IF(AI278="","",MAX(AI278,MAX(AJ$5:AJ277),0))</f>
        <v/>
      </c>
      <c r="AK278" s="33" t="str">
        <f aca="false">IF(AI278="","",AI278-AJ278)</f>
        <v/>
      </c>
      <c r="AL278" s="25" t="str">
        <f aca="false">IF(AA278="","",IF(AA278&lt;0,N(AL277)+1,0))</f>
        <v/>
      </c>
      <c r="AM278" s="37" t="str">
        <f aca="false">IF(B278="","",B278-WEEKDAY(B278,2)+1)</f>
        <v/>
      </c>
    </row>
    <row r="279" customFormat="false" ht="15" hidden="false" customHeight="false" outlineLevel="0" collapsed="false">
      <c r="A279" s="25" t="str">
        <f aca="false">IF(B279="","",ROW()-4)</f>
        <v/>
      </c>
      <c r="B279" s="26"/>
      <c r="C279" s="27" t="str">
        <f aca="false">IF(B279="","",CHOOSE(WEEKDAY(B279,2),"Lundi","Mardi","Mercredi","Jeudi","Vendredi","Samedi","Dimanche"))</f>
        <v/>
      </c>
      <c r="D279" s="28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5" t="str">
        <f aca="false">IF(B279="","",OR(AND(H279="Achat",I279="Haussier"),AND(H279="Vente",I279="Baissier"))*1+OR(AND(H279="Achat",J279="Discount"),AND(H279="Vente",J279="Premium"))*1+AND(K279&lt;&gt;"",K279&lt;&gt;"Aucune")*1+OR(L279="CHoCH",L279="BOS")*1+(M279="Oui")*1+OR(G279="Londres",G279="New York")*1+(O279="Non")*1)</f>
        <v/>
      </c>
      <c r="Q279" s="27" t="str">
        <f aca="false">IF(P279="","",IF(P279=7,"A+",IF(P279&gt;=5,"B","C")))</f>
        <v/>
      </c>
      <c r="R279" s="29"/>
      <c r="S279" s="29"/>
      <c r="T279" s="27" t="str">
        <f aca="false">IF(OR(R279="",S279=""),"",R279+(R279-S279)*Paramètres!$B$6)</f>
        <v/>
      </c>
      <c r="U279" s="29"/>
      <c r="V279" s="27" t="str">
        <f aca="false">IF(OR(R279="",S279=""),"",ABS(R279-S279))</f>
        <v/>
      </c>
      <c r="W279" s="30" t="str">
        <f aca="false">IF(OR(U279="",V279="",N(V279)=0),"",ABS(U279-R279)/V279)</f>
        <v/>
      </c>
      <c r="X279" s="31"/>
      <c r="Y279" s="29"/>
      <c r="Z279" s="32"/>
      <c r="AA279" s="33" t="str">
        <f aca="false">IF(Y279="","",IF(Y279="Stop",-1,IF(Y279="BE",0,IF(Y279="TP1 + BE",Paramètres!$B$7*Paramètres!$B$6,IF(Y279="TP1 (100 %)",Paramètres!$B$6,IF(Y279="TP2",Paramètres!$B$7*Paramètres!$B$6+(1-Paramètres!$B$7)*N(W279),IF(Y279="Sortie manuelle",N(Z279),"")))))))</f>
        <v/>
      </c>
      <c r="AB279" s="34" t="str">
        <f aca="false">IF(AA279="","",AA279*IF(X279="",Paramètres!$B$5,X279))</f>
        <v/>
      </c>
      <c r="AC279" s="35" t="str">
        <f aca="false">IF(AB279="","",Paramètres!$B$4*(1+SUM(AB$5:AB279)))</f>
        <v/>
      </c>
      <c r="AD279" s="29"/>
      <c r="AE279" s="29"/>
      <c r="AF279" s="29"/>
      <c r="AG279" s="36"/>
      <c r="AH279" s="36"/>
      <c r="AI279" s="33" t="str">
        <f aca="false">IF(AA279="","",SUM(AA$5:AA279))</f>
        <v/>
      </c>
      <c r="AJ279" s="33" t="str">
        <f aca="false">IF(AI279="","",MAX(AI279,MAX(AJ$5:AJ278),0))</f>
        <v/>
      </c>
      <c r="AK279" s="33" t="str">
        <f aca="false">IF(AI279="","",AI279-AJ279)</f>
        <v/>
      </c>
      <c r="AL279" s="25" t="str">
        <f aca="false">IF(AA279="","",IF(AA279&lt;0,N(AL278)+1,0))</f>
        <v/>
      </c>
      <c r="AM279" s="37" t="str">
        <f aca="false">IF(B279="","",B279-WEEKDAY(B279,2)+1)</f>
        <v/>
      </c>
    </row>
    <row r="280" customFormat="false" ht="15" hidden="false" customHeight="false" outlineLevel="0" collapsed="false">
      <c r="A280" s="25" t="str">
        <f aca="false">IF(B280="","",ROW()-4)</f>
        <v/>
      </c>
      <c r="B280" s="26"/>
      <c r="C280" s="27" t="str">
        <f aca="false">IF(B280="","",CHOOSE(WEEKDAY(B280,2),"Lundi","Mardi","Mercredi","Jeudi","Vendredi","Samedi","Dimanche"))</f>
        <v/>
      </c>
      <c r="D280" s="28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5" t="str">
        <f aca="false">IF(B280="","",OR(AND(H280="Achat",I280="Haussier"),AND(H280="Vente",I280="Baissier"))*1+OR(AND(H280="Achat",J280="Discount"),AND(H280="Vente",J280="Premium"))*1+AND(K280&lt;&gt;"",K280&lt;&gt;"Aucune")*1+OR(L280="CHoCH",L280="BOS")*1+(M280="Oui")*1+OR(G280="Londres",G280="New York")*1+(O280="Non")*1)</f>
        <v/>
      </c>
      <c r="Q280" s="27" t="str">
        <f aca="false">IF(P280="","",IF(P280=7,"A+",IF(P280&gt;=5,"B","C")))</f>
        <v/>
      </c>
      <c r="R280" s="29"/>
      <c r="S280" s="29"/>
      <c r="T280" s="27" t="str">
        <f aca="false">IF(OR(R280="",S280=""),"",R280+(R280-S280)*Paramètres!$B$6)</f>
        <v/>
      </c>
      <c r="U280" s="29"/>
      <c r="V280" s="27" t="str">
        <f aca="false">IF(OR(R280="",S280=""),"",ABS(R280-S280))</f>
        <v/>
      </c>
      <c r="W280" s="30" t="str">
        <f aca="false">IF(OR(U280="",V280="",N(V280)=0),"",ABS(U280-R280)/V280)</f>
        <v/>
      </c>
      <c r="X280" s="31"/>
      <c r="Y280" s="29"/>
      <c r="Z280" s="32"/>
      <c r="AA280" s="33" t="str">
        <f aca="false">IF(Y280="","",IF(Y280="Stop",-1,IF(Y280="BE",0,IF(Y280="TP1 + BE",Paramètres!$B$7*Paramètres!$B$6,IF(Y280="TP1 (100 %)",Paramètres!$B$6,IF(Y280="TP2",Paramètres!$B$7*Paramètres!$B$6+(1-Paramètres!$B$7)*N(W280),IF(Y280="Sortie manuelle",N(Z280),"")))))))</f>
        <v/>
      </c>
      <c r="AB280" s="34" t="str">
        <f aca="false">IF(AA280="","",AA280*IF(X280="",Paramètres!$B$5,X280))</f>
        <v/>
      </c>
      <c r="AC280" s="35" t="str">
        <f aca="false">IF(AB280="","",Paramètres!$B$4*(1+SUM(AB$5:AB280)))</f>
        <v/>
      </c>
      <c r="AD280" s="29"/>
      <c r="AE280" s="29"/>
      <c r="AF280" s="29"/>
      <c r="AG280" s="36"/>
      <c r="AH280" s="36"/>
      <c r="AI280" s="33" t="str">
        <f aca="false">IF(AA280="","",SUM(AA$5:AA280))</f>
        <v/>
      </c>
      <c r="AJ280" s="33" t="str">
        <f aca="false">IF(AI280="","",MAX(AI280,MAX(AJ$5:AJ279),0))</f>
        <v/>
      </c>
      <c r="AK280" s="33" t="str">
        <f aca="false">IF(AI280="","",AI280-AJ280)</f>
        <v/>
      </c>
      <c r="AL280" s="25" t="str">
        <f aca="false">IF(AA280="","",IF(AA280&lt;0,N(AL279)+1,0))</f>
        <v/>
      </c>
      <c r="AM280" s="37" t="str">
        <f aca="false">IF(B280="","",B280-WEEKDAY(B280,2)+1)</f>
        <v/>
      </c>
    </row>
    <row r="281" customFormat="false" ht="15" hidden="false" customHeight="false" outlineLevel="0" collapsed="false">
      <c r="A281" s="25" t="str">
        <f aca="false">IF(B281="","",ROW()-4)</f>
        <v/>
      </c>
      <c r="B281" s="26"/>
      <c r="C281" s="27" t="str">
        <f aca="false">IF(B281="","",CHOOSE(WEEKDAY(B281,2),"Lundi","Mardi","Mercredi","Jeudi","Vendredi","Samedi","Dimanche"))</f>
        <v/>
      </c>
      <c r="D281" s="28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5" t="str">
        <f aca="false">IF(B281="","",OR(AND(H281="Achat",I281="Haussier"),AND(H281="Vente",I281="Baissier"))*1+OR(AND(H281="Achat",J281="Discount"),AND(H281="Vente",J281="Premium"))*1+AND(K281&lt;&gt;"",K281&lt;&gt;"Aucune")*1+OR(L281="CHoCH",L281="BOS")*1+(M281="Oui")*1+OR(G281="Londres",G281="New York")*1+(O281="Non")*1)</f>
        <v/>
      </c>
      <c r="Q281" s="27" t="str">
        <f aca="false">IF(P281="","",IF(P281=7,"A+",IF(P281&gt;=5,"B","C")))</f>
        <v/>
      </c>
      <c r="R281" s="29"/>
      <c r="S281" s="29"/>
      <c r="T281" s="27" t="str">
        <f aca="false">IF(OR(R281="",S281=""),"",R281+(R281-S281)*Paramètres!$B$6)</f>
        <v/>
      </c>
      <c r="U281" s="29"/>
      <c r="V281" s="27" t="str">
        <f aca="false">IF(OR(R281="",S281=""),"",ABS(R281-S281))</f>
        <v/>
      </c>
      <c r="W281" s="30" t="str">
        <f aca="false">IF(OR(U281="",V281="",N(V281)=0),"",ABS(U281-R281)/V281)</f>
        <v/>
      </c>
      <c r="X281" s="31"/>
      <c r="Y281" s="29"/>
      <c r="Z281" s="32"/>
      <c r="AA281" s="33" t="str">
        <f aca="false">IF(Y281="","",IF(Y281="Stop",-1,IF(Y281="BE",0,IF(Y281="TP1 + BE",Paramètres!$B$7*Paramètres!$B$6,IF(Y281="TP1 (100 %)",Paramètres!$B$6,IF(Y281="TP2",Paramètres!$B$7*Paramètres!$B$6+(1-Paramètres!$B$7)*N(W281),IF(Y281="Sortie manuelle",N(Z281),"")))))))</f>
        <v/>
      </c>
      <c r="AB281" s="34" t="str">
        <f aca="false">IF(AA281="","",AA281*IF(X281="",Paramètres!$B$5,X281))</f>
        <v/>
      </c>
      <c r="AC281" s="35" t="str">
        <f aca="false">IF(AB281="","",Paramètres!$B$4*(1+SUM(AB$5:AB281)))</f>
        <v/>
      </c>
      <c r="AD281" s="29"/>
      <c r="AE281" s="29"/>
      <c r="AF281" s="29"/>
      <c r="AG281" s="36"/>
      <c r="AH281" s="36"/>
      <c r="AI281" s="33" t="str">
        <f aca="false">IF(AA281="","",SUM(AA$5:AA281))</f>
        <v/>
      </c>
      <c r="AJ281" s="33" t="str">
        <f aca="false">IF(AI281="","",MAX(AI281,MAX(AJ$5:AJ280),0))</f>
        <v/>
      </c>
      <c r="AK281" s="33" t="str">
        <f aca="false">IF(AI281="","",AI281-AJ281)</f>
        <v/>
      </c>
      <c r="AL281" s="25" t="str">
        <f aca="false">IF(AA281="","",IF(AA281&lt;0,N(AL280)+1,0))</f>
        <v/>
      </c>
      <c r="AM281" s="37" t="str">
        <f aca="false">IF(B281="","",B281-WEEKDAY(B281,2)+1)</f>
        <v/>
      </c>
    </row>
    <row r="282" customFormat="false" ht="15" hidden="false" customHeight="false" outlineLevel="0" collapsed="false">
      <c r="A282" s="25" t="str">
        <f aca="false">IF(B282="","",ROW()-4)</f>
        <v/>
      </c>
      <c r="B282" s="26"/>
      <c r="C282" s="27" t="str">
        <f aca="false">IF(B282="","",CHOOSE(WEEKDAY(B282,2),"Lundi","Mardi","Mercredi","Jeudi","Vendredi","Samedi","Dimanche"))</f>
        <v/>
      </c>
      <c r="D282" s="28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5" t="str">
        <f aca="false">IF(B282="","",OR(AND(H282="Achat",I282="Haussier"),AND(H282="Vente",I282="Baissier"))*1+OR(AND(H282="Achat",J282="Discount"),AND(H282="Vente",J282="Premium"))*1+AND(K282&lt;&gt;"",K282&lt;&gt;"Aucune")*1+OR(L282="CHoCH",L282="BOS")*1+(M282="Oui")*1+OR(G282="Londres",G282="New York")*1+(O282="Non")*1)</f>
        <v/>
      </c>
      <c r="Q282" s="27" t="str">
        <f aca="false">IF(P282="","",IF(P282=7,"A+",IF(P282&gt;=5,"B","C")))</f>
        <v/>
      </c>
      <c r="R282" s="29"/>
      <c r="S282" s="29"/>
      <c r="T282" s="27" t="str">
        <f aca="false">IF(OR(R282="",S282=""),"",R282+(R282-S282)*Paramètres!$B$6)</f>
        <v/>
      </c>
      <c r="U282" s="29"/>
      <c r="V282" s="27" t="str">
        <f aca="false">IF(OR(R282="",S282=""),"",ABS(R282-S282))</f>
        <v/>
      </c>
      <c r="W282" s="30" t="str">
        <f aca="false">IF(OR(U282="",V282="",N(V282)=0),"",ABS(U282-R282)/V282)</f>
        <v/>
      </c>
      <c r="X282" s="31"/>
      <c r="Y282" s="29"/>
      <c r="Z282" s="32"/>
      <c r="AA282" s="33" t="str">
        <f aca="false">IF(Y282="","",IF(Y282="Stop",-1,IF(Y282="BE",0,IF(Y282="TP1 + BE",Paramètres!$B$7*Paramètres!$B$6,IF(Y282="TP1 (100 %)",Paramètres!$B$6,IF(Y282="TP2",Paramètres!$B$7*Paramètres!$B$6+(1-Paramètres!$B$7)*N(W282),IF(Y282="Sortie manuelle",N(Z282),"")))))))</f>
        <v/>
      </c>
      <c r="AB282" s="34" t="str">
        <f aca="false">IF(AA282="","",AA282*IF(X282="",Paramètres!$B$5,X282))</f>
        <v/>
      </c>
      <c r="AC282" s="35" t="str">
        <f aca="false">IF(AB282="","",Paramètres!$B$4*(1+SUM(AB$5:AB282)))</f>
        <v/>
      </c>
      <c r="AD282" s="29"/>
      <c r="AE282" s="29"/>
      <c r="AF282" s="29"/>
      <c r="AG282" s="36"/>
      <c r="AH282" s="36"/>
      <c r="AI282" s="33" t="str">
        <f aca="false">IF(AA282="","",SUM(AA$5:AA282))</f>
        <v/>
      </c>
      <c r="AJ282" s="33" t="str">
        <f aca="false">IF(AI282="","",MAX(AI282,MAX(AJ$5:AJ281),0))</f>
        <v/>
      </c>
      <c r="AK282" s="33" t="str">
        <f aca="false">IF(AI282="","",AI282-AJ282)</f>
        <v/>
      </c>
      <c r="AL282" s="25" t="str">
        <f aca="false">IF(AA282="","",IF(AA282&lt;0,N(AL281)+1,0))</f>
        <v/>
      </c>
      <c r="AM282" s="37" t="str">
        <f aca="false">IF(B282="","",B282-WEEKDAY(B282,2)+1)</f>
        <v/>
      </c>
    </row>
    <row r="283" customFormat="false" ht="15" hidden="false" customHeight="false" outlineLevel="0" collapsed="false">
      <c r="A283" s="25" t="str">
        <f aca="false">IF(B283="","",ROW()-4)</f>
        <v/>
      </c>
      <c r="B283" s="26"/>
      <c r="C283" s="27" t="str">
        <f aca="false">IF(B283="","",CHOOSE(WEEKDAY(B283,2),"Lundi","Mardi","Mercredi","Jeudi","Vendredi","Samedi","Dimanche"))</f>
        <v/>
      </c>
      <c r="D283" s="28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5" t="str">
        <f aca="false">IF(B283="","",OR(AND(H283="Achat",I283="Haussier"),AND(H283="Vente",I283="Baissier"))*1+OR(AND(H283="Achat",J283="Discount"),AND(H283="Vente",J283="Premium"))*1+AND(K283&lt;&gt;"",K283&lt;&gt;"Aucune")*1+OR(L283="CHoCH",L283="BOS")*1+(M283="Oui")*1+OR(G283="Londres",G283="New York")*1+(O283="Non")*1)</f>
        <v/>
      </c>
      <c r="Q283" s="27" t="str">
        <f aca="false">IF(P283="","",IF(P283=7,"A+",IF(P283&gt;=5,"B","C")))</f>
        <v/>
      </c>
      <c r="R283" s="29"/>
      <c r="S283" s="29"/>
      <c r="T283" s="27" t="str">
        <f aca="false">IF(OR(R283="",S283=""),"",R283+(R283-S283)*Paramètres!$B$6)</f>
        <v/>
      </c>
      <c r="U283" s="29"/>
      <c r="V283" s="27" t="str">
        <f aca="false">IF(OR(R283="",S283=""),"",ABS(R283-S283))</f>
        <v/>
      </c>
      <c r="W283" s="30" t="str">
        <f aca="false">IF(OR(U283="",V283="",N(V283)=0),"",ABS(U283-R283)/V283)</f>
        <v/>
      </c>
      <c r="X283" s="31"/>
      <c r="Y283" s="29"/>
      <c r="Z283" s="32"/>
      <c r="AA283" s="33" t="str">
        <f aca="false">IF(Y283="","",IF(Y283="Stop",-1,IF(Y283="BE",0,IF(Y283="TP1 + BE",Paramètres!$B$7*Paramètres!$B$6,IF(Y283="TP1 (100 %)",Paramètres!$B$6,IF(Y283="TP2",Paramètres!$B$7*Paramètres!$B$6+(1-Paramètres!$B$7)*N(W283),IF(Y283="Sortie manuelle",N(Z283),"")))))))</f>
        <v/>
      </c>
      <c r="AB283" s="34" t="str">
        <f aca="false">IF(AA283="","",AA283*IF(X283="",Paramètres!$B$5,X283))</f>
        <v/>
      </c>
      <c r="AC283" s="35" t="str">
        <f aca="false">IF(AB283="","",Paramètres!$B$4*(1+SUM(AB$5:AB283)))</f>
        <v/>
      </c>
      <c r="AD283" s="29"/>
      <c r="AE283" s="29"/>
      <c r="AF283" s="29"/>
      <c r="AG283" s="36"/>
      <c r="AH283" s="36"/>
      <c r="AI283" s="33" t="str">
        <f aca="false">IF(AA283="","",SUM(AA$5:AA283))</f>
        <v/>
      </c>
      <c r="AJ283" s="33" t="str">
        <f aca="false">IF(AI283="","",MAX(AI283,MAX(AJ$5:AJ282),0))</f>
        <v/>
      </c>
      <c r="AK283" s="33" t="str">
        <f aca="false">IF(AI283="","",AI283-AJ283)</f>
        <v/>
      </c>
      <c r="AL283" s="25" t="str">
        <f aca="false">IF(AA283="","",IF(AA283&lt;0,N(AL282)+1,0))</f>
        <v/>
      </c>
      <c r="AM283" s="37" t="str">
        <f aca="false">IF(B283="","",B283-WEEKDAY(B283,2)+1)</f>
        <v/>
      </c>
    </row>
    <row r="284" customFormat="false" ht="15" hidden="false" customHeight="false" outlineLevel="0" collapsed="false">
      <c r="A284" s="25" t="str">
        <f aca="false">IF(B284="","",ROW()-4)</f>
        <v/>
      </c>
      <c r="B284" s="26"/>
      <c r="C284" s="27" t="str">
        <f aca="false">IF(B284="","",CHOOSE(WEEKDAY(B284,2),"Lundi","Mardi","Mercredi","Jeudi","Vendredi","Samedi","Dimanche"))</f>
        <v/>
      </c>
      <c r="D284" s="28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5" t="str">
        <f aca="false">IF(B284="","",OR(AND(H284="Achat",I284="Haussier"),AND(H284="Vente",I284="Baissier"))*1+OR(AND(H284="Achat",J284="Discount"),AND(H284="Vente",J284="Premium"))*1+AND(K284&lt;&gt;"",K284&lt;&gt;"Aucune")*1+OR(L284="CHoCH",L284="BOS")*1+(M284="Oui")*1+OR(G284="Londres",G284="New York")*1+(O284="Non")*1)</f>
        <v/>
      </c>
      <c r="Q284" s="27" t="str">
        <f aca="false">IF(P284="","",IF(P284=7,"A+",IF(P284&gt;=5,"B","C")))</f>
        <v/>
      </c>
      <c r="R284" s="29"/>
      <c r="S284" s="29"/>
      <c r="T284" s="27" t="str">
        <f aca="false">IF(OR(R284="",S284=""),"",R284+(R284-S284)*Paramètres!$B$6)</f>
        <v/>
      </c>
      <c r="U284" s="29"/>
      <c r="V284" s="27" t="str">
        <f aca="false">IF(OR(R284="",S284=""),"",ABS(R284-S284))</f>
        <v/>
      </c>
      <c r="W284" s="30" t="str">
        <f aca="false">IF(OR(U284="",V284="",N(V284)=0),"",ABS(U284-R284)/V284)</f>
        <v/>
      </c>
      <c r="X284" s="31"/>
      <c r="Y284" s="29"/>
      <c r="Z284" s="32"/>
      <c r="AA284" s="33" t="str">
        <f aca="false">IF(Y284="","",IF(Y284="Stop",-1,IF(Y284="BE",0,IF(Y284="TP1 + BE",Paramètres!$B$7*Paramètres!$B$6,IF(Y284="TP1 (100 %)",Paramètres!$B$6,IF(Y284="TP2",Paramètres!$B$7*Paramètres!$B$6+(1-Paramètres!$B$7)*N(W284),IF(Y284="Sortie manuelle",N(Z284),"")))))))</f>
        <v/>
      </c>
      <c r="AB284" s="34" t="str">
        <f aca="false">IF(AA284="","",AA284*IF(X284="",Paramètres!$B$5,X284))</f>
        <v/>
      </c>
      <c r="AC284" s="35" t="str">
        <f aca="false">IF(AB284="","",Paramètres!$B$4*(1+SUM(AB$5:AB284)))</f>
        <v/>
      </c>
      <c r="AD284" s="29"/>
      <c r="AE284" s="29"/>
      <c r="AF284" s="29"/>
      <c r="AG284" s="36"/>
      <c r="AH284" s="36"/>
      <c r="AI284" s="33" t="str">
        <f aca="false">IF(AA284="","",SUM(AA$5:AA284))</f>
        <v/>
      </c>
      <c r="AJ284" s="33" t="str">
        <f aca="false">IF(AI284="","",MAX(AI284,MAX(AJ$5:AJ283),0))</f>
        <v/>
      </c>
      <c r="AK284" s="33" t="str">
        <f aca="false">IF(AI284="","",AI284-AJ284)</f>
        <v/>
      </c>
      <c r="AL284" s="25" t="str">
        <f aca="false">IF(AA284="","",IF(AA284&lt;0,N(AL283)+1,0))</f>
        <v/>
      </c>
      <c r="AM284" s="37" t="str">
        <f aca="false">IF(B284="","",B284-WEEKDAY(B284,2)+1)</f>
        <v/>
      </c>
    </row>
    <row r="285" customFormat="false" ht="15" hidden="false" customHeight="false" outlineLevel="0" collapsed="false">
      <c r="A285" s="25" t="str">
        <f aca="false">IF(B285="","",ROW()-4)</f>
        <v/>
      </c>
      <c r="B285" s="26"/>
      <c r="C285" s="27" t="str">
        <f aca="false">IF(B285="","",CHOOSE(WEEKDAY(B285,2),"Lundi","Mardi","Mercredi","Jeudi","Vendredi","Samedi","Dimanche"))</f>
        <v/>
      </c>
      <c r="D285" s="28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5" t="str">
        <f aca="false">IF(B285="","",OR(AND(H285="Achat",I285="Haussier"),AND(H285="Vente",I285="Baissier"))*1+OR(AND(H285="Achat",J285="Discount"),AND(H285="Vente",J285="Premium"))*1+AND(K285&lt;&gt;"",K285&lt;&gt;"Aucune")*1+OR(L285="CHoCH",L285="BOS")*1+(M285="Oui")*1+OR(G285="Londres",G285="New York")*1+(O285="Non")*1)</f>
        <v/>
      </c>
      <c r="Q285" s="27" t="str">
        <f aca="false">IF(P285="","",IF(P285=7,"A+",IF(P285&gt;=5,"B","C")))</f>
        <v/>
      </c>
      <c r="R285" s="29"/>
      <c r="S285" s="29"/>
      <c r="T285" s="27" t="str">
        <f aca="false">IF(OR(R285="",S285=""),"",R285+(R285-S285)*Paramètres!$B$6)</f>
        <v/>
      </c>
      <c r="U285" s="29"/>
      <c r="V285" s="27" t="str">
        <f aca="false">IF(OR(R285="",S285=""),"",ABS(R285-S285))</f>
        <v/>
      </c>
      <c r="W285" s="30" t="str">
        <f aca="false">IF(OR(U285="",V285="",N(V285)=0),"",ABS(U285-R285)/V285)</f>
        <v/>
      </c>
      <c r="X285" s="31"/>
      <c r="Y285" s="29"/>
      <c r="Z285" s="32"/>
      <c r="AA285" s="33" t="str">
        <f aca="false">IF(Y285="","",IF(Y285="Stop",-1,IF(Y285="BE",0,IF(Y285="TP1 + BE",Paramètres!$B$7*Paramètres!$B$6,IF(Y285="TP1 (100 %)",Paramètres!$B$6,IF(Y285="TP2",Paramètres!$B$7*Paramètres!$B$6+(1-Paramètres!$B$7)*N(W285),IF(Y285="Sortie manuelle",N(Z285),"")))))))</f>
        <v/>
      </c>
      <c r="AB285" s="34" t="str">
        <f aca="false">IF(AA285="","",AA285*IF(X285="",Paramètres!$B$5,X285))</f>
        <v/>
      </c>
      <c r="AC285" s="35" t="str">
        <f aca="false">IF(AB285="","",Paramètres!$B$4*(1+SUM(AB$5:AB285)))</f>
        <v/>
      </c>
      <c r="AD285" s="29"/>
      <c r="AE285" s="29"/>
      <c r="AF285" s="29"/>
      <c r="AG285" s="36"/>
      <c r="AH285" s="36"/>
      <c r="AI285" s="33" t="str">
        <f aca="false">IF(AA285="","",SUM(AA$5:AA285))</f>
        <v/>
      </c>
      <c r="AJ285" s="33" t="str">
        <f aca="false">IF(AI285="","",MAX(AI285,MAX(AJ$5:AJ284),0))</f>
        <v/>
      </c>
      <c r="AK285" s="33" t="str">
        <f aca="false">IF(AI285="","",AI285-AJ285)</f>
        <v/>
      </c>
      <c r="AL285" s="25" t="str">
        <f aca="false">IF(AA285="","",IF(AA285&lt;0,N(AL284)+1,0))</f>
        <v/>
      </c>
      <c r="AM285" s="37" t="str">
        <f aca="false">IF(B285="","",B285-WEEKDAY(B285,2)+1)</f>
        <v/>
      </c>
    </row>
    <row r="286" customFormat="false" ht="15" hidden="false" customHeight="false" outlineLevel="0" collapsed="false">
      <c r="A286" s="25" t="str">
        <f aca="false">IF(B286="","",ROW()-4)</f>
        <v/>
      </c>
      <c r="B286" s="26"/>
      <c r="C286" s="27" t="str">
        <f aca="false">IF(B286="","",CHOOSE(WEEKDAY(B286,2),"Lundi","Mardi","Mercredi","Jeudi","Vendredi","Samedi","Dimanche"))</f>
        <v/>
      </c>
      <c r="D286" s="28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5" t="str">
        <f aca="false">IF(B286="","",OR(AND(H286="Achat",I286="Haussier"),AND(H286="Vente",I286="Baissier"))*1+OR(AND(H286="Achat",J286="Discount"),AND(H286="Vente",J286="Premium"))*1+AND(K286&lt;&gt;"",K286&lt;&gt;"Aucune")*1+OR(L286="CHoCH",L286="BOS")*1+(M286="Oui")*1+OR(G286="Londres",G286="New York")*1+(O286="Non")*1)</f>
        <v/>
      </c>
      <c r="Q286" s="27" t="str">
        <f aca="false">IF(P286="","",IF(P286=7,"A+",IF(P286&gt;=5,"B","C")))</f>
        <v/>
      </c>
      <c r="R286" s="29"/>
      <c r="S286" s="29"/>
      <c r="T286" s="27" t="str">
        <f aca="false">IF(OR(R286="",S286=""),"",R286+(R286-S286)*Paramètres!$B$6)</f>
        <v/>
      </c>
      <c r="U286" s="29"/>
      <c r="V286" s="27" t="str">
        <f aca="false">IF(OR(R286="",S286=""),"",ABS(R286-S286))</f>
        <v/>
      </c>
      <c r="W286" s="30" t="str">
        <f aca="false">IF(OR(U286="",V286="",N(V286)=0),"",ABS(U286-R286)/V286)</f>
        <v/>
      </c>
      <c r="X286" s="31"/>
      <c r="Y286" s="29"/>
      <c r="Z286" s="32"/>
      <c r="AA286" s="33" t="str">
        <f aca="false">IF(Y286="","",IF(Y286="Stop",-1,IF(Y286="BE",0,IF(Y286="TP1 + BE",Paramètres!$B$7*Paramètres!$B$6,IF(Y286="TP1 (100 %)",Paramètres!$B$6,IF(Y286="TP2",Paramètres!$B$7*Paramètres!$B$6+(1-Paramètres!$B$7)*N(W286),IF(Y286="Sortie manuelle",N(Z286),"")))))))</f>
        <v/>
      </c>
      <c r="AB286" s="34" t="str">
        <f aca="false">IF(AA286="","",AA286*IF(X286="",Paramètres!$B$5,X286))</f>
        <v/>
      </c>
      <c r="AC286" s="35" t="str">
        <f aca="false">IF(AB286="","",Paramètres!$B$4*(1+SUM(AB$5:AB286)))</f>
        <v/>
      </c>
      <c r="AD286" s="29"/>
      <c r="AE286" s="29"/>
      <c r="AF286" s="29"/>
      <c r="AG286" s="36"/>
      <c r="AH286" s="36"/>
      <c r="AI286" s="33" t="str">
        <f aca="false">IF(AA286="","",SUM(AA$5:AA286))</f>
        <v/>
      </c>
      <c r="AJ286" s="33" t="str">
        <f aca="false">IF(AI286="","",MAX(AI286,MAX(AJ$5:AJ285),0))</f>
        <v/>
      </c>
      <c r="AK286" s="33" t="str">
        <f aca="false">IF(AI286="","",AI286-AJ286)</f>
        <v/>
      </c>
      <c r="AL286" s="25" t="str">
        <f aca="false">IF(AA286="","",IF(AA286&lt;0,N(AL285)+1,0))</f>
        <v/>
      </c>
      <c r="AM286" s="37" t="str">
        <f aca="false">IF(B286="","",B286-WEEKDAY(B286,2)+1)</f>
        <v/>
      </c>
    </row>
    <row r="287" customFormat="false" ht="15" hidden="false" customHeight="false" outlineLevel="0" collapsed="false">
      <c r="A287" s="25" t="str">
        <f aca="false">IF(B287="","",ROW()-4)</f>
        <v/>
      </c>
      <c r="B287" s="26"/>
      <c r="C287" s="27" t="str">
        <f aca="false">IF(B287="","",CHOOSE(WEEKDAY(B287,2),"Lundi","Mardi","Mercredi","Jeudi","Vendredi","Samedi","Dimanche"))</f>
        <v/>
      </c>
      <c r="D287" s="28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5" t="str">
        <f aca="false">IF(B287="","",OR(AND(H287="Achat",I287="Haussier"),AND(H287="Vente",I287="Baissier"))*1+OR(AND(H287="Achat",J287="Discount"),AND(H287="Vente",J287="Premium"))*1+AND(K287&lt;&gt;"",K287&lt;&gt;"Aucune")*1+OR(L287="CHoCH",L287="BOS")*1+(M287="Oui")*1+OR(G287="Londres",G287="New York")*1+(O287="Non")*1)</f>
        <v/>
      </c>
      <c r="Q287" s="27" t="str">
        <f aca="false">IF(P287="","",IF(P287=7,"A+",IF(P287&gt;=5,"B","C")))</f>
        <v/>
      </c>
      <c r="R287" s="29"/>
      <c r="S287" s="29"/>
      <c r="T287" s="27" t="str">
        <f aca="false">IF(OR(R287="",S287=""),"",R287+(R287-S287)*Paramètres!$B$6)</f>
        <v/>
      </c>
      <c r="U287" s="29"/>
      <c r="V287" s="27" t="str">
        <f aca="false">IF(OR(R287="",S287=""),"",ABS(R287-S287))</f>
        <v/>
      </c>
      <c r="W287" s="30" t="str">
        <f aca="false">IF(OR(U287="",V287="",N(V287)=0),"",ABS(U287-R287)/V287)</f>
        <v/>
      </c>
      <c r="X287" s="31"/>
      <c r="Y287" s="29"/>
      <c r="Z287" s="32"/>
      <c r="AA287" s="33" t="str">
        <f aca="false">IF(Y287="","",IF(Y287="Stop",-1,IF(Y287="BE",0,IF(Y287="TP1 + BE",Paramètres!$B$7*Paramètres!$B$6,IF(Y287="TP1 (100 %)",Paramètres!$B$6,IF(Y287="TP2",Paramètres!$B$7*Paramètres!$B$6+(1-Paramètres!$B$7)*N(W287),IF(Y287="Sortie manuelle",N(Z287),"")))))))</f>
        <v/>
      </c>
      <c r="AB287" s="34" t="str">
        <f aca="false">IF(AA287="","",AA287*IF(X287="",Paramètres!$B$5,X287))</f>
        <v/>
      </c>
      <c r="AC287" s="35" t="str">
        <f aca="false">IF(AB287="","",Paramètres!$B$4*(1+SUM(AB$5:AB287)))</f>
        <v/>
      </c>
      <c r="AD287" s="29"/>
      <c r="AE287" s="29"/>
      <c r="AF287" s="29"/>
      <c r="AG287" s="36"/>
      <c r="AH287" s="36"/>
      <c r="AI287" s="33" t="str">
        <f aca="false">IF(AA287="","",SUM(AA$5:AA287))</f>
        <v/>
      </c>
      <c r="AJ287" s="33" t="str">
        <f aca="false">IF(AI287="","",MAX(AI287,MAX(AJ$5:AJ286),0))</f>
        <v/>
      </c>
      <c r="AK287" s="33" t="str">
        <f aca="false">IF(AI287="","",AI287-AJ287)</f>
        <v/>
      </c>
      <c r="AL287" s="25" t="str">
        <f aca="false">IF(AA287="","",IF(AA287&lt;0,N(AL286)+1,0))</f>
        <v/>
      </c>
      <c r="AM287" s="37" t="str">
        <f aca="false">IF(B287="","",B287-WEEKDAY(B287,2)+1)</f>
        <v/>
      </c>
    </row>
    <row r="288" customFormat="false" ht="15" hidden="false" customHeight="false" outlineLevel="0" collapsed="false">
      <c r="A288" s="25" t="str">
        <f aca="false">IF(B288="","",ROW()-4)</f>
        <v/>
      </c>
      <c r="B288" s="26"/>
      <c r="C288" s="27" t="str">
        <f aca="false">IF(B288="","",CHOOSE(WEEKDAY(B288,2),"Lundi","Mardi","Mercredi","Jeudi","Vendredi","Samedi","Dimanche"))</f>
        <v/>
      </c>
      <c r="D288" s="28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5" t="str">
        <f aca="false">IF(B288="","",OR(AND(H288="Achat",I288="Haussier"),AND(H288="Vente",I288="Baissier"))*1+OR(AND(H288="Achat",J288="Discount"),AND(H288="Vente",J288="Premium"))*1+AND(K288&lt;&gt;"",K288&lt;&gt;"Aucune")*1+OR(L288="CHoCH",L288="BOS")*1+(M288="Oui")*1+OR(G288="Londres",G288="New York")*1+(O288="Non")*1)</f>
        <v/>
      </c>
      <c r="Q288" s="27" t="str">
        <f aca="false">IF(P288="","",IF(P288=7,"A+",IF(P288&gt;=5,"B","C")))</f>
        <v/>
      </c>
      <c r="R288" s="29"/>
      <c r="S288" s="29"/>
      <c r="T288" s="27" t="str">
        <f aca="false">IF(OR(R288="",S288=""),"",R288+(R288-S288)*Paramètres!$B$6)</f>
        <v/>
      </c>
      <c r="U288" s="29"/>
      <c r="V288" s="27" t="str">
        <f aca="false">IF(OR(R288="",S288=""),"",ABS(R288-S288))</f>
        <v/>
      </c>
      <c r="W288" s="30" t="str">
        <f aca="false">IF(OR(U288="",V288="",N(V288)=0),"",ABS(U288-R288)/V288)</f>
        <v/>
      </c>
      <c r="X288" s="31"/>
      <c r="Y288" s="29"/>
      <c r="Z288" s="32"/>
      <c r="AA288" s="33" t="str">
        <f aca="false">IF(Y288="","",IF(Y288="Stop",-1,IF(Y288="BE",0,IF(Y288="TP1 + BE",Paramètres!$B$7*Paramètres!$B$6,IF(Y288="TP1 (100 %)",Paramètres!$B$6,IF(Y288="TP2",Paramètres!$B$7*Paramètres!$B$6+(1-Paramètres!$B$7)*N(W288),IF(Y288="Sortie manuelle",N(Z288),"")))))))</f>
        <v/>
      </c>
      <c r="AB288" s="34" t="str">
        <f aca="false">IF(AA288="","",AA288*IF(X288="",Paramètres!$B$5,X288))</f>
        <v/>
      </c>
      <c r="AC288" s="35" t="str">
        <f aca="false">IF(AB288="","",Paramètres!$B$4*(1+SUM(AB$5:AB288)))</f>
        <v/>
      </c>
      <c r="AD288" s="29"/>
      <c r="AE288" s="29"/>
      <c r="AF288" s="29"/>
      <c r="AG288" s="36"/>
      <c r="AH288" s="36"/>
      <c r="AI288" s="33" t="str">
        <f aca="false">IF(AA288="","",SUM(AA$5:AA288))</f>
        <v/>
      </c>
      <c r="AJ288" s="33" t="str">
        <f aca="false">IF(AI288="","",MAX(AI288,MAX(AJ$5:AJ287),0))</f>
        <v/>
      </c>
      <c r="AK288" s="33" t="str">
        <f aca="false">IF(AI288="","",AI288-AJ288)</f>
        <v/>
      </c>
      <c r="AL288" s="25" t="str">
        <f aca="false">IF(AA288="","",IF(AA288&lt;0,N(AL287)+1,0))</f>
        <v/>
      </c>
      <c r="AM288" s="37" t="str">
        <f aca="false">IF(B288="","",B288-WEEKDAY(B288,2)+1)</f>
        <v/>
      </c>
    </row>
    <row r="289" customFormat="false" ht="15" hidden="false" customHeight="false" outlineLevel="0" collapsed="false">
      <c r="A289" s="25" t="str">
        <f aca="false">IF(B289="","",ROW()-4)</f>
        <v/>
      </c>
      <c r="B289" s="26"/>
      <c r="C289" s="27" t="str">
        <f aca="false">IF(B289="","",CHOOSE(WEEKDAY(B289,2),"Lundi","Mardi","Mercredi","Jeudi","Vendredi","Samedi","Dimanche"))</f>
        <v/>
      </c>
      <c r="D289" s="28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5" t="str">
        <f aca="false">IF(B289="","",OR(AND(H289="Achat",I289="Haussier"),AND(H289="Vente",I289="Baissier"))*1+OR(AND(H289="Achat",J289="Discount"),AND(H289="Vente",J289="Premium"))*1+AND(K289&lt;&gt;"",K289&lt;&gt;"Aucune")*1+OR(L289="CHoCH",L289="BOS")*1+(M289="Oui")*1+OR(G289="Londres",G289="New York")*1+(O289="Non")*1)</f>
        <v/>
      </c>
      <c r="Q289" s="27" t="str">
        <f aca="false">IF(P289="","",IF(P289=7,"A+",IF(P289&gt;=5,"B","C")))</f>
        <v/>
      </c>
      <c r="R289" s="29"/>
      <c r="S289" s="29"/>
      <c r="T289" s="27" t="str">
        <f aca="false">IF(OR(R289="",S289=""),"",R289+(R289-S289)*Paramètres!$B$6)</f>
        <v/>
      </c>
      <c r="U289" s="29"/>
      <c r="V289" s="27" t="str">
        <f aca="false">IF(OR(R289="",S289=""),"",ABS(R289-S289))</f>
        <v/>
      </c>
      <c r="W289" s="30" t="str">
        <f aca="false">IF(OR(U289="",V289="",N(V289)=0),"",ABS(U289-R289)/V289)</f>
        <v/>
      </c>
      <c r="X289" s="31"/>
      <c r="Y289" s="29"/>
      <c r="Z289" s="32"/>
      <c r="AA289" s="33" t="str">
        <f aca="false">IF(Y289="","",IF(Y289="Stop",-1,IF(Y289="BE",0,IF(Y289="TP1 + BE",Paramètres!$B$7*Paramètres!$B$6,IF(Y289="TP1 (100 %)",Paramètres!$B$6,IF(Y289="TP2",Paramètres!$B$7*Paramètres!$B$6+(1-Paramètres!$B$7)*N(W289),IF(Y289="Sortie manuelle",N(Z289),"")))))))</f>
        <v/>
      </c>
      <c r="AB289" s="34" t="str">
        <f aca="false">IF(AA289="","",AA289*IF(X289="",Paramètres!$B$5,X289))</f>
        <v/>
      </c>
      <c r="AC289" s="35" t="str">
        <f aca="false">IF(AB289="","",Paramètres!$B$4*(1+SUM(AB$5:AB289)))</f>
        <v/>
      </c>
      <c r="AD289" s="29"/>
      <c r="AE289" s="29"/>
      <c r="AF289" s="29"/>
      <c r="AG289" s="36"/>
      <c r="AH289" s="36"/>
      <c r="AI289" s="33" t="str">
        <f aca="false">IF(AA289="","",SUM(AA$5:AA289))</f>
        <v/>
      </c>
      <c r="AJ289" s="33" t="str">
        <f aca="false">IF(AI289="","",MAX(AI289,MAX(AJ$5:AJ288),0))</f>
        <v/>
      </c>
      <c r="AK289" s="33" t="str">
        <f aca="false">IF(AI289="","",AI289-AJ289)</f>
        <v/>
      </c>
      <c r="AL289" s="25" t="str">
        <f aca="false">IF(AA289="","",IF(AA289&lt;0,N(AL288)+1,0))</f>
        <v/>
      </c>
      <c r="AM289" s="37" t="str">
        <f aca="false">IF(B289="","",B289-WEEKDAY(B289,2)+1)</f>
        <v/>
      </c>
    </row>
    <row r="290" customFormat="false" ht="15" hidden="false" customHeight="false" outlineLevel="0" collapsed="false">
      <c r="A290" s="25" t="str">
        <f aca="false">IF(B290="","",ROW()-4)</f>
        <v/>
      </c>
      <c r="B290" s="26"/>
      <c r="C290" s="27" t="str">
        <f aca="false">IF(B290="","",CHOOSE(WEEKDAY(B290,2),"Lundi","Mardi","Mercredi","Jeudi","Vendredi","Samedi","Dimanche"))</f>
        <v/>
      </c>
      <c r="D290" s="28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5" t="str">
        <f aca="false">IF(B290="","",OR(AND(H290="Achat",I290="Haussier"),AND(H290="Vente",I290="Baissier"))*1+OR(AND(H290="Achat",J290="Discount"),AND(H290="Vente",J290="Premium"))*1+AND(K290&lt;&gt;"",K290&lt;&gt;"Aucune")*1+OR(L290="CHoCH",L290="BOS")*1+(M290="Oui")*1+OR(G290="Londres",G290="New York")*1+(O290="Non")*1)</f>
        <v/>
      </c>
      <c r="Q290" s="27" t="str">
        <f aca="false">IF(P290="","",IF(P290=7,"A+",IF(P290&gt;=5,"B","C")))</f>
        <v/>
      </c>
      <c r="R290" s="29"/>
      <c r="S290" s="29"/>
      <c r="T290" s="27" t="str">
        <f aca="false">IF(OR(R290="",S290=""),"",R290+(R290-S290)*Paramètres!$B$6)</f>
        <v/>
      </c>
      <c r="U290" s="29"/>
      <c r="V290" s="27" t="str">
        <f aca="false">IF(OR(R290="",S290=""),"",ABS(R290-S290))</f>
        <v/>
      </c>
      <c r="W290" s="30" t="str">
        <f aca="false">IF(OR(U290="",V290="",N(V290)=0),"",ABS(U290-R290)/V290)</f>
        <v/>
      </c>
      <c r="X290" s="31"/>
      <c r="Y290" s="29"/>
      <c r="Z290" s="32"/>
      <c r="AA290" s="33" t="str">
        <f aca="false">IF(Y290="","",IF(Y290="Stop",-1,IF(Y290="BE",0,IF(Y290="TP1 + BE",Paramètres!$B$7*Paramètres!$B$6,IF(Y290="TP1 (100 %)",Paramètres!$B$6,IF(Y290="TP2",Paramètres!$B$7*Paramètres!$B$6+(1-Paramètres!$B$7)*N(W290),IF(Y290="Sortie manuelle",N(Z290),"")))))))</f>
        <v/>
      </c>
      <c r="AB290" s="34" t="str">
        <f aca="false">IF(AA290="","",AA290*IF(X290="",Paramètres!$B$5,X290))</f>
        <v/>
      </c>
      <c r="AC290" s="35" t="str">
        <f aca="false">IF(AB290="","",Paramètres!$B$4*(1+SUM(AB$5:AB290)))</f>
        <v/>
      </c>
      <c r="AD290" s="29"/>
      <c r="AE290" s="29"/>
      <c r="AF290" s="29"/>
      <c r="AG290" s="36"/>
      <c r="AH290" s="36"/>
      <c r="AI290" s="33" t="str">
        <f aca="false">IF(AA290="","",SUM(AA$5:AA290))</f>
        <v/>
      </c>
      <c r="AJ290" s="33" t="str">
        <f aca="false">IF(AI290="","",MAX(AI290,MAX(AJ$5:AJ289),0))</f>
        <v/>
      </c>
      <c r="AK290" s="33" t="str">
        <f aca="false">IF(AI290="","",AI290-AJ290)</f>
        <v/>
      </c>
      <c r="AL290" s="25" t="str">
        <f aca="false">IF(AA290="","",IF(AA290&lt;0,N(AL289)+1,0))</f>
        <v/>
      </c>
      <c r="AM290" s="37" t="str">
        <f aca="false">IF(B290="","",B290-WEEKDAY(B290,2)+1)</f>
        <v/>
      </c>
    </row>
    <row r="291" customFormat="false" ht="15" hidden="false" customHeight="false" outlineLevel="0" collapsed="false">
      <c r="A291" s="25" t="str">
        <f aca="false">IF(B291="","",ROW()-4)</f>
        <v/>
      </c>
      <c r="B291" s="26"/>
      <c r="C291" s="27" t="str">
        <f aca="false">IF(B291="","",CHOOSE(WEEKDAY(B291,2),"Lundi","Mardi","Mercredi","Jeudi","Vendredi","Samedi","Dimanche"))</f>
        <v/>
      </c>
      <c r="D291" s="28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5" t="str">
        <f aca="false">IF(B291="","",OR(AND(H291="Achat",I291="Haussier"),AND(H291="Vente",I291="Baissier"))*1+OR(AND(H291="Achat",J291="Discount"),AND(H291="Vente",J291="Premium"))*1+AND(K291&lt;&gt;"",K291&lt;&gt;"Aucune")*1+OR(L291="CHoCH",L291="BOS")*1+(M291="Oui")*1+OR(G291="Londres",G291="New York")*1+(O291="Non")*1)</f>
        <v/>
      </c>
      <c r="Q291" s="27" t="str">
        <f aca="false">IF(P291="","",IF(P291=7,"A+",IF(P291&gt;=5,"B","C")))</f>
        <v/>
      </c>
      <c r="R291" s="29"/>
      <c r="S291" s="29"/>
      <c r="T291" s="27" t="str">
        <f aca="false">IF(OR(R291="",S291=""),"",R291+(R291-S291)*Paramètres!$B$6)</f>
        <v/>
      </c>
      <c r="U291" s="29"/>
      <c r="V291" s="27" t="str">
        <f aca="false">IF(OR(R291="",S291=""),"",ABS(R291-S291))</f>
        <v/>
      </c>
      <c r="W291" s="30" t="str">
        <f aca="false">IF(OR(U291="",V291="",N(V291)=0),"",ABS(U291-R291)/V291)</f>
        <v/>
      </c>
      <c r="X291" s="31"/>
      <c r="Y291" s="29"/>
      <c r="Z291" s="32"/>
      <c r="AA291" s="33" t="str">
        <f aca="false">IF(Y291="","",IF(Y291="Stop",-1,IF(Y291="BE",0,IF(Y291="TP1 + BE",Paramètres!$B$7*Paramètres!$B$6,IF(Y291="TP1 (100 %)",Paramètres!$B$6,IF(Y291="TP2",Paramètres!$B$7*Paramètres!$B$6+(1-Paramètres!$B$7)*N(W291),IF(Y291="Sortie manuelle",N(Z291),"")))))))</f>
        <v/>
      </c>
      <c r="AB291" s="34" t="str">
        <f aca="false">IF(AA291="","",AA291*IF(X291="",Paramètres!$B$5,X291))</f>
        <v/>
      </c>
      <c r="AC291" s="35" t="str">
        <f aca="false">IF(AB291="","",Paramètres!$B$4*(1+SUM(AB$5:AB291)))</f>
        <v/>
      </c>
      <c r="AD291" s="29"/>
      <c r="AE291" s="29"/>
      <c r="AF291" s="29"/>
      <c r="AG291" s="36"/>
      <c r="AH291" s="36"/>
      <c r="AI291" s="33" t="str">
        <f aca="false">IF(AA291="","",SUM(AA$5:AA291))</f>
        <v/>
      </c>
      <c r="AJ291" s="33" t="str">
        <f aca="false">IF(AI291="","",MAX(AI291,MAX(AJ$5:AJ290),0))</f>
        <v/>
      </c>
      <c r="AK291" s="33" t="str">
        <f aca="false">IF(AI291="","",AI291-AJ291)</f>
        <v/>
      </c>
      <c r="AL291" s="25" t="str">
        <f aca="false">IF(AA291="","",IF(AA291&lt;0,N(AL290)+1,0))</f>
        <v/>
      </c>
      <c r="AM291" s="37" t="str">
        <f aca="false">IF(B291="","",B291-WEEKDAY(B291,2)+1)</f>
        <v/>
      </c>
    </row>
    <row r="292" customFormat="false" ht="15" hidden="false" customHeight="false" outlineLevel="0" collapsed="false">
      <c r="A292" s="25" t="str">
        <f aca="false">IF(B292="","",ROW()-4)</f>
        <v/>
      </c>
      <c r="B292" s="26"/>
      <c r="C292" s="27" t="str">
        <f aca="false">IF(B292="","",CHOOSE(WEEKDAY(B292,2),"Lundi","Mardi","Mercredi","Jeudi","Vendredi","Samedi","Dimanche"))</f>
        <v/>
      </c>
      <c r="D292" s="28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5" t="str">
        <f aca="false">IF(B292="","",OR(AND(H292="Achat",I292="Haussier"),AND(H292="Vente",I292="Baissier"))*1+OR(AND(H292="Achat",J292="Discount"),AND(H292="Vente",J292="Premium"))*1+AND(K292&lt;&gt;"",K292&lt;&gt;"Aucune")*1+OR(L292="CHoCH",L292="BOS")*1+(M292="Oui")*1+OR(G292="Londres",G292="New York")*1+(O292="Non")*1)</f>
        <v/>
      </c>
      <c r="Q292" s="27" t="str">
        <f aca="false">IF(P292="","",IF(P292=7,"A+",IF(P292&gt;=5,"B","C")))</f>
        <v/>
      </c>
      <c r="R292" s="29"/>
      <c r="S292" s="29"/>
      <c r="T292" s="27" t="str">
        <f aca="false">IF(OR(R292="",S292=""),"",R292+(R292-S292)*Paramètres!$B$6)</f>
        <v/>
      </c>
      <c r="U292" s="29"/>
      <c r="V292" s="27" t="str">
        <f aca="false">IF(OR(R292="",S292=""),"",ABS(R292-S292))</f>
        <v/>
      </c>
      <c r="W292" s="30" t="str">
        <f aca="false">IF(OR(U292="",V292="",N(V292)=0),"",ABS(U292-R292)/V292)</f>
        <v/>
      </c>
      <c r="X292" s="31"/>
      <c r="Y292" s="29"/>
      <c r="Z292" s="32"/>
      <c r="AA292" s="33" t="str">
        <f aca="false">IF(Y292="","",IF(Y292="Stop",-1,IF(Y292="BE",0,IF(Y292="TP1 + BE",Paramètres!$B$7*Paramètres!$B$6,IF(Y292="TP1 (100 %)",Paramètres!$B$6,IF(Y292="TP2",Paramètres!$B$7*Paramètres!$B$6+(1-Paramètres!$B$7)*N(W292),IF(Y292="Sortie manuelle",N(Z292),"")))))))</f>
        <v/>
      </c>
      <c r="AB292" s="34" t="str">
        <f aca="false">IF(AA292="","",AA292*IF(X292="",Paramètres!$B$5,X292))</f>
        <v/>
      </c>
      <c r="AC292" s="35" t="str">
        <f aca="false">IF(AB292="","",Paramètres!$B$4*(1+SUM(AB$5:AB292)))</f>
        <v/>
      </c>
      <c r="AD292" s="29"/>
      <c r="AE292" s="29"/>
      <c r="AF292" s="29"/>
      <c r="AG292" s="36"/>
      <c r="AH292" s="36"/>
      <c r="AI292" s="33" t="str">
        <f aca="false">IF(AA292="","",SUM(AA$5:AA292))</f>
        <v/>
      </c>
      <c r="AJ292" s="33" t="str">
        <f aca="false">IF(AI292="","",MAX(AI292,MAX(AJ$5:AJ291),0))</f>
        <v/>
      </c>
      <c r="AK292" s="33" t="str">
        <f aca="false">IF(AI292="","",AI292-AJ292)</f>
        <v/>
      </c>
      <c r="AL292" s="25" t="str">
        <f aca="false">IF(AA292="","",IF(AA292&lt;0,N(AL291)+1,0))</f>
        <v/>
      </c>
      <c r="AM292" s="37" t="str">
        <f aca="false">IF(B292="","",B292-WEEKDAY(B292,2)+1)</f>
        <v/>
      </c>
    </row>
    <row r="293" customFormat="false" ht="15" hidden="false" customHeight="false" outlineLevel="0" collapsed="false">
      <c r="A293" s="25" t="str">
        <f aca="false">IF(B293="","",ROW()-4)</f>
        <v/>
      </c>
      <c r="B293" s="26"/>
      <c r="C293" s="27" t="str">
        <f aca="false">IF(B293="","",CHOOSE(WEEKDAY(B293,2),"Lundi","Mardi","Mercredi","Jeudi","Vendredi","Samedi","Dimanche"))</f>
        <v/>
      </c>
      <c r="D293" s="28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5" t="str">
        <f aca="false">IF(B293="","",OR(AND(H293="Achat",I293="Haussier"),AND(H293="Vente",I293="Baissier"))*1+OR(AND(H293="Achat",J293="Discount"),AND(H293="Vente",J293="Premium"))*1+AND(K293&lt;&gt;"",K293&lt;&gt;"Aucune")*1+OR(L293="CHoCH",L293="BOS")*1+(M293="Oui")*1+OR(G293="Londres",G293="New York")*1+(O293="Non")*1)</f>
        <v/>
      </c>
      <c r="Q293" s="27" t="str">
        <f aca="false">IF(P293="","",IF(P293=7,"A+",IF(P293&gt;=5,"B","C")))</f>
        <v/>
      </c>
      <c r="R293" s="29"/>
      <c r="S293" s="29"/>
      <c r="T293" s="27" t="str">
        <f aca="false">IF(OR(R293="",S293=""),"",R293+(R293-S293)*Paramètres!$B$6)</f>
        <v/>
      </c>
      <c r="U293" s="29"/>
      <c r="V293" s="27" t="str">
        <f aca="false">IF(OR(R293="",S293=""),"",ABS(R293-S293))</f>
        <v/>
      </c>
      <c r="W293" s="30" t="str">
        <f aca="false">IF(OR(U293="",V293="",N(V293)=0),"",ABS(U293-R293)/V293)</f>
        <v/>
      </c>
      <c r="X293" s="31"/>
      <c r="Y293" s="29"/>
      <c r="Z293" s="32"/>
      <c r="AA293" s="33" t="str">
        <f aca="false">IF(Y293="","",IF(Y293="Stop",-1,IF(Y293="BE",0,IF(Y293="TP1 + BE",Paramètres!$B$7*Paramètres!$B$6,IF(Y293="TP1 (100 %)",Paramètres!$B$6,IF(Y293="TP2",Paramètres!$B$7*Paramètres!$B$6+(1-Paramètres!$B$7)*N(W293),IF(Y293="Sortie manuelle",N(Z293),"")))))))</f>
        <v/>
      </c>
      <c r="AB293" s="34" t="str">
        <f aca="false">IF(AA293="","",AA293*IF(X293="",Paramètres!$B$5,X293))</f>
        <v/>
      </c>
      <c r="AC293" s="35" t="str">
        <f aca="false">IF(AB293="","",Paramètres!$B$4*(1+SUM(AB$5:AB293)))</f>
        <v/>
      </c>
      <c r="AD293" s="29"/>
      <c r="AE293" s="29"/>
      <c r="AF293" s="29"/>
      <c r="AG293" s="36"/>
      <c r="AH293" s="36"/>
      <c r="AI293" s="33" t="str">
        <f aca="false">IF(AA293="","",SUM(AA$5:AA293))</f>
        <v/>
      </c>
      <c r="AJ293" s="33" t="str">
        <f aca="false">IF(AI293="","",MAX(AI293,MAX(AJ$5:AJ292),0))</f>
        <v/>
      </c>
      <c r="AK293" s="33" t="str">
        <f aca="false">IF(AI293="","",AI293-AJ293)</f>
        <v/>
      </c>
      <c r="AL293" s="25" t="str">
        <f aca="false">IF(AA293="","",IF(AA293&lt;0,N(AL292)+1,0))</f>
        <v/>
      </c>
      <c r="AM293" s="37" t="str">
        <f aca="false">IF(B293="","",B293-WEEKDAY(B293,2)+1)</f>
        <v/>
      </c>
    </row>
    <row r="294" customFormat="false" ht="15" hidden="false" customHeight="false" outlineLevel="0" collapsed="false">
      <c r="A294" s="25" t="str">
        <f aca="false">IF(B294="","",ROW()-4)</f>
        <v/>
      </c>
      <c r="B294" s="26"/>
      <c r="C294" s="27" t="str">
        <f aca="false">IF(B294="","",CHOOSE(WEEKDAY(B294,2),"Lundi","Mardi","Mercredi","Jeudi","Vendredi","Samedi","Dimanche"))</f>
        <v/>
      </c>
      <c r="D294" s="28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5" t="str">
        <f aca="false">IF(B294="","",OR(AND(H294="Achat",I294="Haussier"),AND(H294="Vente",I294="Baissier"))*1+OR(AND(H294="Achat",J294="Discount"),AND(H294="Vente",J294="Premium"))*1+AND(K294&lt;&gt;"",K294&lt;&gt;"Aucune")*1+OR(L294="CHoCH",L294="BOS")*1+(M294="Oui")*1+OR(G294="Londres",G294="New York")*1+(O294="Non")*1)</f>
        <v/>
      </c>
      <c r="Q294" s="27" t="str">
        <f aca="false">IF(P294="","",IF(P294=7,"A+",IF(P294&gt;=5,"B","C")))</f>
        <v/>
      </c>
      <c r="R294" s="29"/>
      <c r="S294" s="29"/>
      <c r="T294" s="27" t="str">
        <f aca="false">IF(OR(R294="",S294=""),"",R294+(R294-S294)*Paramètres!$B$6)</f>
        <v/>
      </c>
      <c r="U294" s="29"/>
      <c r="V294" s="27" t="str">
        <f aca="false">IF(OR(R294="",S294=""),"",ABS(R294-S294))</f>
        <v/>
      </c>
      <c r="W294" s="30" t="str">
        <f aca="false">IF(OR(U294="",V294="",N(V294)=0),"",ABS(U294-R294)/V294)</f>
        <v/>
      </c>
      <c r="X294" s="31"/>
      <c r="Y294" s="29"/>
      <c r="Z294" s="32"/>
      <c r="AA294" s="33" t="str">
        <f aca="false">IF(Y294="","",IF(Y294="Stop",-1,IF(Y294="BE",0,IF(Y294="TP1 + BE",Paramètres!$B$7*Paramètres!$B$6,IF(Y294="TP1 (100 %)",Paramètres!$B$6,IF(Y294="TP2",Paramètres!$B$7*Paramètres!$B$6+(1-Paramètres!$B$7)*N(W294),IF(Y294="Sortie manuelle",N(Z294),"")))))))</f>
        <v/>
      </c>
      <c r="AB294" s="34" t="str">
        <f aca="false">IF(AA294="","",AA294*IF(X294="",Paramètres!$B$5,X294))</f>
        <v/>
      </c>
      <c r="AC294" s="35" t="str">
        <f aca="false">IF(AB294="","",Paramètres!$B$4*(1+SUM(AB$5:AB294)))</f>
        <v/>
      </c>
      <c r="AD294" s="29"/>
      <c r="AE294" s="29"/>
      <c r="AF294" s="29"/>
      <c r="AG294" s="36"/>
      <c r="AH294" s="36"/>
      <c r="AI294" s="33" t="str">
        <f aca="false">IF(AA294="","",SUM(AA$5:AA294))</f>
        <v/>
      </c>
      <c r="AJ294" s="33" t="str">
        <f aca="false">IF(AI294="","",MAX(AI294,MAX(AJ$5:AJ293),0))</f>
        <v/>
      </c>
      <c r="AK294" s="33" t="str">
        <f aca="false">IF(AI294="","",AI294-AJ294)</f>
        <v/>
      </c>
      <c r="AL294" s="25" t="str">
        <f aca="false">IF(AA294="","",IF(AA294&lt;0,N(AL293)+1,0))</f>
        <v/>
      </c>
      <c r="AM294" s="37" t="str">
        <f aca="false">IF(B294="","",B294-WEEKDAY(B294,2)+1)</f>
        <v/>
      </c>
    </row>
    <row r="295" customFormat="false" ht="15" hidden="false" customHeight="false" outlineLevel="0" collapsed="false">
      <c r="A295" s="25" t="str">
        <f aca="false">IF(B295="","",ROW()-4)</f>
        <v/>
      </c>
      <c r="B295" s="26"/>
      <c r="C295" s="27" t="str">
        <f aca="false">IF(B295="","",CHOOSE(WEEKDAY(B295,2),"Lundi","Mardi","Mercredi","Jeudi","Vendredi","Samedi","Dimanche"))</f>
        <v/>
      </c>
      <c r="D295" s="28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5" t="str">
        <f aca="false">IF(B295="","",OR(AND(H295="Achat",I295="Haussier"),AND(H295="Vente",I295="Baissier"))*1+OR(AND(H295="Achat",J295="Discount"),AND(H295="Vente",J295="Premium"))*1+AND(K295&lt;&gt;"",K295&lt;&gt;"Aucune")*1+OR(L295="CHoCH",L295="BOS")*1+(M295="Oui")*1+OR(G295="Londres",G295="New York")*1+(O295="Non")*1)</f>
        <v/>
      </c>
      <c r="Q295" s="27" t="str">
        <f aca="false">IF(P295="","",IF(P295=7,"A+",IF(P295&gt;=5,"B","C")))</f>
        <v/>
      </c>
      <c r="R295" s="29"/>
      <c r="S295" s="29"/>
      <c r="T295" s="27" t="str">
        <f aca="false">IF(OR(R295="",S295=""),"",R295+(R295-S295)*Paramètres!$B$6)</f>
        <v/>
      </c>
      <c r="U295" s="29"/>
      <c r="V295" s="27" t="str">
        <f aca="false">IF(OR(R295="",S295=""),"",ABS(R295-S295))</f>
        <v/>
      </c>
      <c r="W295" s="30" t="str">
        <f aca="false">IF(OR(U295="",V295="",N(V295)=0),"",ABS(U295-R295)/V295)</f>
        <v/>
      </c>
      <c r="X295" s="31"/>
      <c r="Y295" s="29"/>
      <c r="Z295" s="32"/>
      <c r="AA295" s="33" t="str">
        <f aca="false">IF(Y295="","",IF(Y295="Stop",-1,IF(Y295="BE",0,IF(Y295="TP1 + BE",Paramètres!$B$7*Paramètres!$B$6,IF(Y295="TP1 (100 %)",Paramètres!$B$6,IF(Y295="TP2",Paramètres!$B$7*Paramètres!$B$6+(1-Paramètres!$B$7)*N(W295),IF(Y295="Sortie manuelle",N(Z295),"")))))))</f>
        <v/>
      </c>
      <c r="AB295" s="34" t="str">
        <f aca="false">IF(AA295="","",AA295*IF(X295="",Paramètres!$B$5,X295))</f>
        <v/>
      </c>
      <c r="AC295" s="35" t="str">
        <f aca="false">IF(AB295="","",Paramètres!$B$4*(1+SUM(AB$5:AB295)))</f>
        <v/>
      </c>
      <c r="AD295" s="29"/>
      <c r="AE295" s="29"/>
      <c r="AF295" s="29"/>
      <c r="AG295" s="36"/>
      <c r="AH295" s="36"/>
      <c r="AI295" s="33" t="str">
        <f aca="false">IF(AA295="","",SUM(AA$5:AA295))</f>
        <v/>
      </c>
      <c r="AJ295" s="33" t="str">
        <f aca="false">IF(AI295="","",MAX(AI295,MAX(AJ$5:AJ294),0))</f>
        <v/>
      </c>
      <c r="AK295" s="33" t="str">
        <f aca="false">IF(AI295="","",AI295-AJ295)</f>
        <v/>
      </c>
      <c r="AL295" s="25" t="str">
        <f aca="false">IF(AA295="","",IF(AA295&lt;0,N(AL294)+1,0))</f>
        <v/>
      </c>
      <c r="AM295" s="37" t="str">
        <f aca="false">IF(B295="","",B295-WEEKDAY(B295,2)+1)</f>
        <v/>
      </c>
    </row>
    <row r="296" customFormat="false" ht="15" hidden="false" customHeight="false" outlineLevel="0" collapsed="false">
      <c r="A296" s="25" t="str">
        <f aca="false">IF(B296="","",ROW()-4)</f>
        <v/>
      </c>
      <c r="B296" s="26"/>
      <c r="C296" s="27" t="str">
        <f aca="false">IF(B296="","",CHOOSE(WEEKDAY(B296,2),"Lundi","Mardi","Mercredi","Jeudi","Vendredi","Samedi","Dimanche"))</f>
        <v/>
      </c>
      <c r="D296" s="28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5" t="str">
        <f aca="false">IF(B296="","",OR(AND(H296="Achat",I296="Haussier"),AND(H296="Vente",I296="Baissier"))*1+OR(AND(H296="Achat",J296="Discount"),AND(H296="Vente",J296="Premium"))*1+AND(K296&lt;&gt;"",K296&lt;&gt;"Aucune")*1+OR(L296="CHoCH",L296="BOS")*1+(M296="Oui")*1+OR(G296="Londres",G296="New York")*1+(O296="Non")*1)</f>
        <v/>
      </c>
      <c r="Q296" s="27" t="str">
        <f aca="false">IF(P296="","",IF(P296=7,"A+",IF(P296&gt;=5,"B","C")))</f>
        <v/>
      </c>
      <c r="R296" s="29"/>
      <c r="S296" s="29"/>
      <c r="T296" s="27" t="str">
        <f aca="false">IF(OR(R296="",S296=""),"",R296+(R296-S296)*Paramètres!$B$6)</f>
        <v/>
      </c>
      <c r="U296" s="29"/>
      <c r="V296" s="27" t="str">
        <f aca="false">IF(OR(R296="",S296=""),"",ABS(R296-S296))</f>
        <v/>
      </c>
      <c r="W296" s="30" t="str">
        <f aca="false">IF(OR(U296="",V296="",N(V296)=0),"",ABS(U296-R296)/V296)</f>
        <v/>
      </c>
      <c r="X296" s="31"/>
      <c r="Y296" s="29"/>
      <c r="Z296" s="32"/>
      <c r="AA296" s="33" t="str">
        <f aca="false">IF(Y296="","",IF(Y296="Stop",-1,IF(Y296="BE",0,IF(Y296="TP1 + BE",Paramètres!$B$7*Paramètres!$B$6,IF(Y296="TP1 (100 %)",Paramètres!$B$6,IF(Y296="TP2",Paramètres!$B$7*Paramètres!$B$6+(1-Paramètres!$B$7)*N(W296),IF(Y296="Sortie manuelle",N(Z296),"")))))))</f>
        <v/>
      </c>
      <c r="AB296" s="34" t="str">
        <f aca="false">IF(AA296="","",AA296*IF(X296="",Paramètres!$B$5,X296))</f>
        <v/>
      </c>
      <c r="AC296" s="35" t="str">
        <f aca="false">IF(AB296="","",Paramètres!$B$4*(1+SUM(AB$5:AB296)))</f>
        <v/>
      </c>
      <c r="AD296" s="29"/>
      <c r="AE296" s="29"/>
      <c r="AF296" s="29"/>
      <c r="AG296" s="36"/>
      <c r="AH296" s="36"/>
      <c r="AI296" s="33" t="str">
        <f aca="false">IF(AA296="","",SUM(AA$5:AA296))</f>
        <v/>
      </c>
      <c r="AJ296" s="33" t="str">
        <f aca="false">IF(AI296="","",MAX(AI296,MAX(AJ$5:AJ295),0))</f>
        <v/>
      </c>
      <c r="AK296" s="33" t="str">
        <f aca="false">IF(AI296="","",AI296-AJ296)</f>
        <v/>
      </c>
      <c r="AL296" s="25" t="str">
        <f aca="false">IF(AA296="","",IF(AA296&lt;0,N(AL295)+1,0))</f>
        <v/>
      </c>
      <c r="AM296" s="37" t="str">
        <f aca="false">IF(B296="","",B296-WEEKDAY(B296,2)+1)</f>
        <v/>
      </c>
    </row>
    <row r="297" customFormat="false" ht="15" hidden="false" customHeight="false" outlineLevel="0" collapsed="false">
      <c r="A297" s="25" t="str">
        <f aca="false">IF(B297="","",ROW()-4)</f>
        <v/>
      </c>
      <c r="B297" s="26"/>
      <c r="C297" s="27" t="str">
        <f aca="false">IF(B297="","",CHOOSE(WEEKDAY(B297,2),"Lundi","Mardi","Mercredi","Jeudi","Vendredi","Samedi","Dimanche"))</f>
        <v/>
      </c>
      <c r="D297" s="28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5" t="str">
        <f aca="false">IF(B297="","",OR(AND(H297="Achat",I297="Haussier"),AND(H297="Vente",I297="Baissier"))*1+OR(AND(H297="Achat",J297="Discount"),AND(H297="Vente",J297="Premium"))*1+AND(K297&lt;&gt;"",K297&lt;&gt;"Aucune")*1+OR(L297="CHoCH",L297="BOS")*1+(M297="Oui")*1+OR(G297="Londres",G297="New York")*1+(O297="Non")*1)</f>
        <v/>
      </c>
      <c r="Q297" s="27" t="str">
        <f aca="false">IF(P297="","",IF(P297=7,"A+",IF(P297&gt;=5,"B","C")))</f>
        <v/>
      </c>
      <c r="R297" s="29"/>
      <c r="S297" s="29"/>
      <c r="T297" s="27" t="str">
        <f aca="false">IF(OR(R297="",S297=""),"",R297+(R297-S297)*Paramètres!$B$6)</f>
        <v/>
      </c>
      <c r="U297" s="29"/>
      <c r="V297" s="27" t="str">
        <f aca="false">IF(OR(R297="",S297=""),"",ABS(R297-S297))</f>
        <v/>
      </c>
      <c r="W297" s="30" t="str">
        <f aca="false">IF(OR(U297="",V297="",N(V297)=0),"",ABS(U297-R297)/V297)</f>
        <v/>
      </c>
      <c r="X297" s="31"/>
      <c r="Y297" s="29"/>
      <c r="Z297" s="32"/>
      <c r="AA297" s="33" t="str">
        <f aca="false">IF(Y297="","",IF(Y297="Stop",-1,IF(Y297="BE",0,IF(Y297="TP1 + BE",Paramètres!$B$7*Paramètres!$B$6,IF(Y297="TP1 (100 %)",Paramètres!$B$6,IF(Y297="TP2",Paramètres!$B$7*Paramètres!$B$6+(1-Paramètres!$B$7)*N(W297),IF(Y297="Sortie manuelle",N(Z297),"")))))))</f>
        <v/>
      </c>
      <c r="AB297" s="34" t="str">
        <f aca="false">IF(AA297="","",AA297*IF(X297="",Paramètres!$B$5,X297))</f>
        <v/>
      </c>
      <c r="AC297" s="35" t="str">
        <f aca="false">IF(AB297="","",Paramètres!$B$4*(1+SUM(AB$5:AB297)))</f>
        <v/>
      </c>
      <c r="AD297" s="29"/>
      <c r="AE297" s="29"/>
      <c r="AF297" s="29"/>
      <c r="AG297" s="36"/>
      <c r="AH297" s="36"/>
      <c r="AI297" s="33" t="str">
        <f aca="false">IF(AA297="","",SUM(AA$5:AA297))</f>
        <v/>
      </c>
      <c r="AJ297" s="33" t="str">
        <f aca="false">IF(AI297="","",MAX(AI297,MAX(AJ$5:AJ296),0))</f>
        <v/>
      </c>
      <c r="AK297" s="33" t="str">
        <f aca="false">IF(AI297="","",AI297-AJ297)</f>
        <v/>
      </c>
      <c r="AL297" s="25" t="str">
        <f aca="false">IF(AA297="","",IF(AA297&lt;0,N(AL296)+1,0))</f>
        <v/>
      </c>
      <c r="AM297" s="37" t="str">
        <f aca="false">IF(B297="","",B297-WEEKDAY(B297,2)+1)</f>
        <v/>
      </c>
    </row>
    <row r="298" customFormat="false" ht="15" hidden="false" customHeight="false" outlineLevel="0" collapsed="false">
      <c r="A298" s="25" t="str">
        <f aca="false">IF(B298="","",ROW()-4)</f>
        <v/>
      </c>
      <c r="B298" s="26"/>
      <c r="C298" s="27" t="str">
        <f aca="false">IF(B298="","",CHOOSE(WEEKDAY(B298,2),"Lundi","Mardi","Mercredi","Jeudi","Vendredi","Samedi","Dimanche"))</f>
        <v/>
      </c>
      <c r="D298" s="28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5" t="str">
        <f aca="false">IF(B298="","",OR(AND(H298="Achat",I298="Haussier"),AND(H298="Vente",I298="Baissier"))*1+OR(AND(H298="Achat",J298="Discount"),AND(H298="Vente",J298="Premium"))*1+AND(K298&lt;&gt;"",K298&lt;&gt;"Aucune")*1+OR(L298="CHoCH",L298="BOS")*1+(M298="Oui")*1+OR(G298="Londres",G298="New York")*1+(O298="Non")*1)</f>
        <v/>
      </c>
      <c r="Q298" s="27" t="str">
        <f aca="false">IF(P298="","",IF(P298=7,"A+",IF(P298&gt;=5,"B","C")))</f>
        <v/>
      </c>
      <c r="R298" s="29"/>
      <c r="S298" s="29"/>
      <c r="T298" s="27" t="str">
        <f aca="false">IF(OR(R298="",S298=""),"",R298+(R298-S298)*Paramètres!$B$6)</f>
        <v/>
      </c>
      <c r="U298" s="29"/>
      <c r="V298" s="27" t="str">
        <f aca="false">IF(OR(R298="",S298=""),"",ABS(R298-S298))</f>
        <v/>
      </c>
      <c r="W298" s="30" t="str">
        <f aca="false">IF(OR(U298="",V298="",N(V298)=0),"",ABS(U298-R298)/V298)</f>
        <v/>
      </c>
      <c r="X298" s="31"/>
      <c r="Y298" s="29"/>
      <c r="Z298" s="32"/>
      <c r="AA298" s="33" t="str">
        <f aca="false">IF(Y298="","",IF(Y298="Stop",-1,IF(Y298="BE",0,IF(Y298="TP1 + BE",Paramètres!$B$7*Paramètres!$B$6,IF(Y298="TP1 (100 %)",Paramètres!$B$6,IF(Y298="TP2",Paramètres!$B$7*Paramètres!$B$6+(1-Paramètres!$B$7)*N(W298),IF(Y298="Sortie manuelle",N(Z298),"")))))))</f>
        <v/>
      </c>
      <c r="AB298" s="34" t="str">
        <f aca="false">IF(AA298="","",AA298*IF(X298="",Paramètres!$B$5,X298))</f>
        <v/>
      </c>
      <c r="AC298" s="35" t="str">
        <f aca="false">IF(AB298="","",Paramètres!$B$4*(1+SUM(AB$5:AB298)))</f>
        <v/>
      </c>
      <c r="AD298" s="29"/>
      <c r="AE298" s="29"/>
      <c r="AF298" s="29"/>
      <c r="AG298" s="36"/>
      <c r="AH298" s="36"/>
      <c r="AI298" s="33" t="str">
        <f aca="false">IF(AA298="","",SUM(AA$5:AA298))</f>
        <v/>
      </c>
      <c r="AJ298" s="33" t="str">
        <f aca="false">IF(AI298="","",MAX(AI298,MAX(AJ$5:AJ297),0))</f>
        <v/>
      </c>
      <c r="AK298" s="33" t="str">
        <f aca="false">IF(AI298="","",AI298-AJ298)</f>
        <v/>
      </c>
      <c r="AL298" s="25" t="str">
        <f aca="false">IF(AA298="","",IF(AA298&lt;0,N(AL297)+1,0))</f>
        <v/>
      </c>
      <c r="AM298" s="37" t="str">
        <f aca="false">IF(B298="","",B298-WEEKDAY(B298,2)+1)</f>
        <v/>
      </c>
    </row>
    <row r="299" customFormat="false" ht="15" hidden="false" customHeight="false" outlineLevel="0" collapsed="false">
      <c r="A299" s="25" t="str">
        <f aca="false">IF(B299="","",ROW()-4)</f>
        <v/>
      </c>
      <c r="B299" s="26"/>
      <c r="C299" s="27" t="str">
        <f aca="false">IF(B299="","",CHOOSE(WEEKDAY(B299,2),"Lundi","Mardi","Mercredi","Jeudi","Vendredi","Samedi","Dimanche"))</f>
        <v/>
      </c>
      <c r="D299" s="28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5" t="str">
        <f aca="false">IF(B299="","",OR(AND(H299="Achat",I299="Haussier"),AND(H299="Vente",I299="Baissier"))*1+OR(AND(H299="Achat",J299="Discount"),AND(H299="Vente",J299="Premium"))*1+AND(K299&lt;&gt;"",K299&lt;&gt;"Aucune")*1+OR(L299="CHoCH",L299="BOS")*1+(M299="Oui")*1+OR(G299="Londres",G299="New York")*1+(O299="Non")*1)</f>
        <v/>
      </c>
      <c r="Q299" s="27" t="str">
        <f aca="false">IF(P299="","",IF(P299=7,"A+",IF(P299&gt;=5,"B","C")))</f>
        <v/>
      </c>
      <c r="R299" s="29"/>
      <c r="S299" s="29"/>
      <c r="T299" s="27" t="str">
        <f aca="false">IF(OR(R299="",S299=""),"",R299+(R299-S299)*Paramètres!$B$6)</f>
        <v/>
      </c>
      <c r="U299" s="29"/>
      <c r="V299" s="27" t="str">
        <f aca="false">IF(OR(R299="",S299=""),"",ABS(R299-S299))</f>
        <v/>
      </c>
      <c r="W299" s="30" t="str">
        <f aca="false">IF(OR(U299="",V299="",N(V299)=0),"",ABS(U299-R299)/V299)</f>
        <v/>
      </c>
      <c r="X299" s="31"/>
      <c r="Y299" s="29"/>
      <c r="Z299" s="32"/>
      <c r="AA299" s="33" t="str">
        <f aca="false">IF(Y299="","",IF(Y299="Stop",-1,IF(Y299="BE",0,IF(Y299="TP1 + BE",Paramètres!$B$7*Paramètres!$B$6,IF(Y299="TP1 (100 %)",Paramètres!$B$6,IF(Y299="TP2",Paramètres!$B$7*Paramètres!$B$6+(1-Paramètres!$B$7)*N(W299),IF(Y299="Sortie manuelle",N(Z299),"")))))))</f>
        <v/>
      </c>
      <c r="AB299" s="34" t="str">
        <f aca="false">IF(AA299="","",AA299*IF(X299="",Paramètres!$B$5,X299))</f>
        <v/>
      </c>
      <c r="AC299" s="35" t="str">
        <f aca="false">IF(AB299="","",Paramètres!$B$4*(1+SUM(AB$5:AB299)))</f>
        <v/>
      </c>
      <c r="AD299" s="29"/>
      <c r="AE299" s="29"/>
      <c r="AF299" s="29"/>
      <c r="AG299" s="36"/>
      <c r="AH299" s="36"/>
      <c r="AI299" s="33" t="str">
        <f aca="false">IF(AA299="","",SUM(AA$5:AA299))</f>
        <v/>
      </c>
      <c r="AJ299" s="33" t="str">
        <f aca="false">IF(AI299="","",MAX(AI299,MAX(AJ$5:AJ298),0))</f>
        <v/>
      </c>
      <c r="AK299" s="33" t="str">
        <f aca="false">IF(AI299="","",AI299-AJ299)</f>
        <v/>
      </c>
      <c r="AL299" s="25" t="str">
        <f aca="false">IF(AA299="","",IF(AA299&lt;0,N(AL298)+1,0))</f>
        <v/>
      </c>
      <c r="AM299" s="37" t="str">
        <f aca="false">IF(B299="","",B299-WEEKDAY(B299,2)+1)</f>
        <v/>
      </c>
    </row>
    <row r="300" customFormat="false" ht="15" hidden="false" customHeight="false" outlineLevel="0" collapsed="false">
      <c r="A300" s="25" t="str">
        <f aca="false">IF(B300="","",ROW()-4)</f>
        <v/>
      </c>
      <c r="B300" s="26"/>
      <c r="C300" s="27" t="str">
        <f aca="false">IF(B300="","",CHOOSE(WEEKDAY(B300,2),"Lundi","Mardi","Mercredi","Jeudi","Vendredi","Samedi","Dimanche"))</f>
        <v/>
      </c>
      <c r="D300" s="28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5" t="str">
        <f aca="false">IF(B300="","",OR(AND(H300="Achat",I300="Haussier"),AND(H300="Vente",I300="Baissier"))*1+OR(AND(H300="Achat",J300="Discount"),AND(H300="Vente",J300="Premium"))*1+AND(K300&lt;&gt;"",K300&lt;&gt;"Aucune")*1+OR(L300="CHoCH",L300="BOS")*1+(M300="Oui")*1+OR(G300="Londres",G300="New York")*1+(O300="Non")*1)</f>
        <v/>
      </c>
      <c r="Q300" s="27" t="str">
        <f aca="false">IF(P300="","",IF(P300=7,"A+",IF(P300&gt;=5,"B","C")))</f>
        <v/>
      </c>
      <c r="R300" s="29"/>
      <c r="S300" s="29"/>
      <c r="T300" s="27" t="str">
        <f aca="false">IF(OR(R300="",S300=""),"",R300+(R300-S300)*Paramètres!$B$6)</f>
        <v/>
      </c>
      <c r="U300" s="29"/>
      <c r="V300" s="27" t="str">
        <f aca="false">IF(OR(R300="",S300=""),"",ABS(R300-S300))</f>
        <v/>
      </c>
      <c r="W300" s="30" t="str">
        <f aca="false">IF(OR(U300="",V300="",N(V300)=0),"",ABS(U300-R300)/V300)</f>
        <v/>
      </c>
      <c r="X300" s="31"/>
      <c r="Y300" s="29"/>
      <c r="Z300" s="32"/>
      <c r="AA300" s="33" t="str">
        <f aca="false">IF(Y300="","",IF(Y300="Stop",-1,IF(Y300="BE",0,IF(Y300="TP1 + BE",Paramètres!$B$7*Paramètres!$B$6,IF(Y300="TP1 (100 %)",Paramètres!$B$6,IF(Y300="TP2",Paramètres!$B$7*Paramètres!$B$6+(1-Paramètres!$B$7)*N(W300),IF(Y300="Sortie manuelle",N(Z300),"")))))))</f>
        <v/>
      </c>
      <c r="AB300" s="34" t="str">
        <f aca="false">IF(AA300="","",AA300*IF(X300="",Paramètres!$B$5,X300))</f>
        <v/>
      </c>
      <c r="AC300" s="35" t="str">
        <f aca="false">IF(AB300="","",Paramètres!$B$4*(1+SUM(AB$5:AB300)))</f>
        <v/>
      </c>
      <c r="AD300" s="29"/>
      <c r="AE300" s="29"/>
      <c r="AF300" s="29"/>
      <c r="AG300" s="36"/>
      <c r="AH300" s="36"/>
      <c r="AI300" s="33" t="str">
        <f aca="false">IF(AA300="","",SUM(AA$5:AA300))</f>
        <v/>
      </c>
      <c r="AJ300" s="33" t="str">
        <f aca="false">IF(AI300="","",MAX(AI300,MAX(AJ$5:AJ299),0))</f>
        <v/>
      </c>
      <c r="AK300" s="33" t="str">
        <f aca="false">IF(AI300="","",AI300-AJ300)</f>
        <v/>
      </c>
      <c r="AL300" s="25" t="str">
        <f aca="false">IF(AA300="","",IF(AA300&lt;0,N(AL299)+1,0))</f>
        <v/>
      </c>
      <c r="AM300" s="37" t="str">
        <f aca="false">IF(B300="","",B300-WEEKDAY(B300,2)+1)</f>
        <v/>
      </c>
    </row>
    <row r="301" customFormat="false" ht="15" hidden="false" customHeight="false" outlineLevel="0" collapsed="false">
      <c r="A301" s="25" t="str">
        <f aca="false">IF(B301="","",ROW()-4)</f>
        <v/>
      </c>
      <c r="B301" s="26"/>
      <c r="C301" s="27" t="str">
        <f aca="false">IF(B301="","",CHOOSE(WEEKDAY(B301,2),"Lundi","Mardi","Mercredi","Jeudi","Vendredi","Samedi","Dimanche"))</f>
        <v/>
      </c>
      <c r="D301" s="28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5" t="str">
        <f aca="false">IF(B301="","",OR(AND(H301="Achat",I301="Haussier"),AND(H301="Vente",I301="Baissier"))*1+OR(AND(H301="Achat",J301="Discount"),AND(H301="Vente",J301="Premium"))*1+AND(K301&lt;&gt;"",K301&lt;&gt;"Aucune")*1+OR(L301="CHoCH",L301="BOS")*1+(M301="Oui")*1+OR(G301="Londres",G301="New York")*1+(O301="Non")*1)</f>
        <v/>
      </c>
      <c r="Q301" s="27" t="str">
        <f aca="false">IF(P301="","",IF(P301=7,"A+",IF(P301&gt;=5,"B","C")))</f>
        <v/>
      </c>
      <c r="R301" s="29"/>
      <c r="S301" s="29"/>
      <c r="T301" s="27" t="str">
        <f aca="false">IF(OR(R301="",S301=""),"",R301+(R301-S301)*Paramètres!$B$6)</f>
        <v/>
      </c>
      <c r="U301" s="29"/>
      <c r="V301" s="27" t="str">
        <f aca="false">IF(OR(R301="",S301=""),"",ABS(R301-S301))</f>
        <v/>
      </c>
      <c r="W301" s="30" t="str">
        <f aca="false">IF(OR(U301="",V301="",N(V301)=0),"",ABS(U301-R301)/V301)</f>
        <v/>
      </c>
      <c r="X301" s="31"/>
      <c r="Y301" s="29"/>
      <c r="Z301" s="32"/>
      <c r="AA301" s="33" t="str">
        <f aca="false">IF(Y301="","",IF(Y301="Stop",-1,IF(Y301="BE",0,IF(Y301="TP1 + BE",Paramètres!$B$7*Paramètres!$B$6,IF(Y301="TP1 (100 %)",Paramètres!$B$6,IF(Y301="TP2",Paramètres!$B$7*Paramètres!$B$6+(1-Paramètres!$B$7)*N(W301),IF(Y301="Sortie manuelle",N(Z301),"")))))))</f>
        <v/>
      </c>
      <c r="AB301" s="34" t="str">
        <f aca="false">IF(AA301="","",AA301*IF(X301="",Paramètres!$B$5,X301))</f>
        <v/>
      </c>
      <c r="AC301" s="35" t="str">
        <f aca="false">IF(AB301="","",Paramètres!$B$4*(1+SUM(AB$5:AB301)))</f>
        <v/>
      </c>
      <c r="AD301" s="29"/>
      <c r="AE301" s="29"/>
      <c r="AF301" s="29"/>
      <c r="AG301" s="36"/>
      <c r="AH301" s="36"/>
      <c r="AI301" s="33" t="str">
        <f aca="false">IF(AA301="","",SUM(AA$5:AA301))</f>
        <v/>
      </c>
      <c r="AJ301" s="33" t="str">
        <f aca="false">IF(AI301="","",MAX(AI301,MAX(AJ$5:AJ300),0))</f>
        <v/>
      </c>
      <c r="AK301" s="33" t="str">
        <f aca="false">IF(AI301="","",AI301-AJ301)</f>
        <v/>
      </c>
      <c r="AL301" s="25" t="str">
        <f aca="false">IF(AA301="","",IF(AA301&lt;0,N(AL300)+1,0))</f>
        <v/>
      </c>
      <c r="AM301" s="37" t="str">
        <f aca="false">IF(B301="","",B301-WEEKDAY(B301,2)+1)</f>
        <v/>
      </c>
    </row>
    <row r="302" customFormat="false" ht="15" hidden="false" customHeight="false" outlineLevel="0" collapsed="false">
      <c r="A302" s="25" t="str">
        <f aca="false">IF(B302="","",ROW()-4)</f>
        <v/>
      </c>
      <c r="B302" s="26"/>
      <c r="C302" s="27" t="str">
        <f aca="false">IF(B302="","",CHOOSE(WEEKDAY(B302,2),"Lundi","Mardi","Mercredi","Jeudi","Vendredi","Samedi","Dimanche"))</f>
        <v/>
      </c>
      <c r="D302" s="28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5" t="str">
        <f aca="false">IF(B302="","",OR(AND(H302="Achat",I302="Haussier"),AND(H302="Vente",I302="Baissier"))*1+OR(AND(H302="Achat",J302="Discount"),AND(H302="Vente",J302="Premium"))*1+AND(K302&lt;&gt;"",K302&lt;&gt;"Aucune")*1+OR(L302="CHoCH",L302="BOS")*1+(M302="Oui")*1+OR(G302="Londres",G302="New York")*1+(O302="Non")*1)</f>
        <v/>
      </c>
      <c r="Q302" s="27" t="str">
        <f aca="false">IF(P302="","",IF(P302=7,"A+",IF(P302&gt;=5,"B","C")))</f>
        <v/>
      </c>
      <c r="R302" s="29"/>
      <c r="S302" s="29"/>
      <c r="T302" s="27" t="str">
        <f aca="false">IF(OR(R302="",S302=""),"",R302+(R302-S302)*Paramètres!$B$6)</f>
        <v/>
      </c>
      <c r="U302" s="29"/>
      <c r="V302" s="27" t="str">
        <f aca="false">IF(OR(R302="",S302=""),"",ABS(R302-S302))</f>
        <v/>
      </c>
      <c r="W302" s="30" t="str">
        <f aca="false">IF(OR(U302="",V302="",N(V302)=0),"",ABS(U302-R302)/V302)</f>
        <v/>
      </c>
      <c r="X302" s="31"/>
      <c r="Y302" s="29"/>
      <c r="Z302" s="32"/>
      <c r="AA302" s="33" t="str">
        <f aca="false">IF(Y302="","",IF(Y302="Stop",-1,IF(Y302="BE",0,IF(Y302="TP1 + BE",Paramètres!$B$7*Paramètres!$B$6,IF(Y302="TP1 (100 %)",Paramètres!$B$6,IF(Y302="TP2",Paramètres!$B$7*Paramètres!$B$6+(1-Paramètres!$B$7)*N(W302),IF(Y302="Sortie manuelle",N(Z302),"")))))))</f>
        <v/>
      </c>
      <c r="AB302" s="34" t="str">
        <f aca="false">IF(AA302="","",AA302*IF(X302="",Paramètres!$B$5,X302))</f>
        <v/>
      </c>
      <c r="AC302" s="35" t="str">
        <f aca="false">IF(AB302="","",Paramètres!$B$4*(1+SUM(AB$5:AB302)))</f>
        <v/>
      </c>
      <c r="AD302" s="29"/>
      <c r="AE302" s="29"/>
      <c r="AF302" s="29"/>
      <c r="AG302" s="36"/>
      <c r="AH302" s="36"/>
      <c r="AI302" s="33" t="str">
        <f aca="false">IF(AA302="","",SUM(AA$5:AA302))</f>
        <v/>
      </c>
      <c r="AJ302" s="33" t="str">
        <f aca="false">IF(AI302="","",MAX(AI302,MAX(AJ$5:AJ301),0))</f>
        <v/>
      </c>
      <c r="AK302" s="33" t="str">
        <f aca="false">IF(AI302="","",AI302-AJ302)</f>
        <v/>
      </c>
      <c r="AL302" s="25" t="str">
        <f aca="false">IF(AA302="","",IF(AA302&lt;0,N(AL301)+1,0))</f>
        <v/>
      </c>
      <c r="AM302" s="37" t="str">
        <f aca="false">IF(B302="","",B302-WEEKDAY(B302,2)+1)</f>
        <v/>
      </c>
    </row>
    <row r="303" customFormat="false" ht="15" hidden="false" customHeight="false" outlineLevel="0" collapsed="false">
      <c r="A303" s="25" t="str">
        <f aca="false">IF(B303="","",ROW()-4)</f>
        <v/>
      </c>
      <c r="B303" s="26"/>
      <c r="C303" s="27" t="str">
        <f aca="false">IF(B303="","",CHOOSE(WEEKDAY(B303,2),"Lundi","Mardi","Mercredi","Jeudi","Vendredi","Samedi","Dimanche"))</f>
        <v/>
      </c>
      <c r="D303" s="28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5" t="str">
        <f aca="false">IF(B303="","",OR(AND(H303="Achat",I303="Haussier"),AND(H303="Vente",I303="Baissier"))*1+OR(AND(H303="Achat",J303="Discount"),AND(H303="Vente",J303="Premium"))*1+AND(K303&lt;&gt;"",K303&lt;&gt;"Aucune")*1+OR(L303="CHoCH",L303="BOS")*1+(M303="Oui")*1+OR(G303="Londres",G303="New York")*1+(O303="Non")*1)</f>
        <v/>
      </c>
      <c r="Q303" s="27" t="str">
        <f aca="false">IF(P303="","",IF(P303=7,"A+",IF(P303&gt;=5,"B","C")))</f>
        <v/>
      </c>
      <c r="R303" s="29"/>
      <c r="S303" s="29"/>
      <c r="T303" s="27" t="str">
        <f aca="false">IF(OR(R303="",S303=""),"",R303+(R303-S303)*Paramètres!$B$6)</f>
        <v/>
      </c>
      <c r="U303" s="29"/>
      <c r="V303" s="27" t="str">
        <f aca="false">IF(OR(R303="",S303=""),"",ABS(R303-S303))</f>
        <v/>
      </c>
      <c r="W303" s="30" t="str">
        <f aca="false">IF(OR(U303="",V303="",N(V303)=0),"",ABS(U303-R303)/V303)</f>
        <v/>
      </c>
      <c r="X303" s="31"/>
      <c r="Y303" s="29"/>
      <c r="Z303" s="32"/>
      <c r="AA303" s="33" t="str">
        <f aca="false">IF(Y303="","",IF(Y303="Stop",-1,IF(Y303="BE",0,IF(Y303="TP1 + BE",Paramètres!$B$7*Paramètres!$B$6,IF(Y303="TP1 (100 %)",Paramètres!$B$6,IF(Y303="TP2",Paramètres!$B$7*Paramètres!$B$6+(1-Paramètres!$B$7)*N(W303),IF(Y303="Sortie manuelle",N(Z303),"")))))))</f>
        <v/>
      </c>
      <c r="AB303" s="34" t="str">
        <f aca="false">IF(AA303="","",AA303*IF(X303="",Paramètres!$B$5,X303))</f>
        <v/>
      </c>
      <c r="AC303" s="35" t="str">
        <f aca="false">IF(AB303="","",Paramètres!$B$4*(1+SUM(AB$5:AB303)))</f>
        <v/>
      </c>
      <c r="AD303" s="29"/>
      <c r="AE303" s="29"/>
      <c r="AF303" s="29"/>
      <c r="AG303" s="36"/>
      <c r="AH303" s="36"/>
      <c r="AI303" s="33" t="str">
        <f aca="false">IF(AA303="","",SUM(AA$5:AA303))</f>
        <v/>
      </c>
      <c r="AJ303" s="33" t="str">
        <f aca="false">IF(AI303="","",MAX(AI303,MAX(AJ$5:AJ302),0))</f>
        <v/>
      </c>
      <c r="AK303" s="33" t="str">
        <f aca="false">IF(AI303="","",AI303-AJ303)</f>
        <v/>
      </c>
      <c r="AL303" s="25" t="str">
        <f aca="false">IF(AA303="","",IF(AA303&lt;0,N(AL302)+1,0))</f>
        <v/>
      </c>
      <c r="AM303" s="37" t="str">
        <f aca="false">IF(B303="","",B303-WEEKDAY(B303,2)+1)</f>
        <v/>
      </c>
    </row>
    <row r="304" customFormat="false" ht="15" hidden="false" customHeight="false" outlineLevel="0" collapsed="false">
      <c r="A304" s="25" t="str">
        <f aca="false">IF(B304="","",ROW()-4)</f>
        <v/>
      </c>
      <c r="B304" s="26"/>
      <c r="C304" s="27" t="str">
        <f aca="false">IF(B304="","",CHOOSE(WEEKDAY(B304,2),"Lundi","Mardi","Mercredi","Jeudi","Vendredi","Samedi","Dimanche"))</f>
        <v/>
      </c>
      <c r="D304" s="28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5" t="str">
        <f aca="false">IF(B304="","",OR(AND(H304="Achat",I304="Haussier"),AND(H304="Vente",I304="Baissier"))*1+OR(AND(H304="Achat",J304="Discount"),AND(H304="Vente",J304="Premium"))*1+AND(K304&lt;&gt;"",K304&lt;&gt;"Aucune")*1+OR(L304="CHoCH",L304="BOS")*1+(M304="Oui")*1+OR(G304="Londres",G304="New York")*1+(O304="Non")*1)</f>
        <v/>
      </c>
      <c r="Q304" s="27" t="str">
        <f aca="false">IF(P304="","",IF(P304=7,"A+",IF(P304&gt;=5,"B","C")))</f>
        <v/>
      </c>
      <c r="R304" s="29"/>
      <c r="S304" s="29"/>
      <c r="T304" s="27" t="str">
        <f aca="false">IF(OR(R304="",S304=""),"",R304+(R304-S304)*Paramètres!$B$6)</f>
        <v/>
      </c>
      <c r="U304" s="29"/>
      <c r="V304" s="27" t="str">
        <f aca="false">IF(OR(R304="",S304=""),"",ABS(R304-S304))</f>
        <v/>
      </c>
      <c r="W304" s="30" t="str">
        <f aca="false">IF(OR(U304="",V304="",N(V304)=0),"",ABS(U304-R304)/V304)</f>
        <v/>
      </c>
      <c r="X304" s="31"/>
      <c r="Y304" s="29"/>
      <c r="Z304" s="32"/>
      <c r="AA304" s="33" t="str">
        <f aca="false">IF(Y304="","",IF(Y304="Stop",-1,IF(Y304="BE",0,IF(Y304="TP1 + BE",Paramètres!$B$7*Paramètres!$B$6,IF(Y304="TP1 (100 %)",Paramètres!$B$6,IF(Y304="TP2",Paramètres!$B$7*Paramètres!$B$6+(1-Paramètres!$B$7)*N(W304),IF(Y304="Sortie manuelle",N(Z304),"")))))))</f>
        <v/>
      </c>
      <c r="AB304" s="34" t="str">
        <f aca="false">IF(AA304="","",AA304*IF(X304="",Paramètres!$B$5,X304))</f>
        <v/>
      </c>
      <c r="AC304" s="35" t="str">
        <f aca="false">IF(AB304="","",Paramètres!$B$4*(1+SUM(AB$5:AB304)))</f>
        <v/>
      </c>
      <c r="AD304" s="29"/>
      <c r="AE304" s="29"/>
      <c r="AF304" s="29"/>
      <c r="AG304" s="36"/>
      <c r="AH304" s="36"/>
      <c r="AI304" s="33" t="str">
        <f aca="false">IF(AA304="","",SUM(AA$5:AA304))</f>
        <v/>
      </c>
      <c r="AJ304" s="33" t="str">
        <f aca="false">IF(AI304="","",MAX(AI304,MAX(AJ$5:AJ303),0))</f>
        <v/>
      </c>
      <c r="AK304" s="33" t="str">
        <f aca="false">IF(AI304="","",AI304-AJ304)</f>
        <v/>
      </c>
      <c r="AL304" s="25" t="str">
        <f aca="false">IF(AA304="","",IF(AA304&lt;0,N(AL303)+1,0))</f>
        <v/>
      </c>
      <c r="AM304" s="37" t="str">
        <f aca="false">IF(B304="","",B304-WEEKDAY(B304,2)+1)</f>
        <v/>
      </c>
    </row>
  </sheetData>
  <autoFilter ref="A4:AM304"/>
  <mergeCells count="7">
    <mergeCell ref="A3:D3"/>
    <mergeCell ref="E3:H3"/>
    <mergeCell ref="I3:Q3"/>
    <mergeCell ref="R3:X3"/>
    <mergeCell ref="Y3:AC3"/>
    <mergeCell ref="AD3:AH3"/>
    <mergeCell ref="AI3:AM3"/>
  </mergeCells>
  <conditionalFormatting sqref="AA5:AA304">
    <cfRule type="expression" priority="2" aboveAverage="0" equalAverage="0" bottom="0" percent="0" rank="0" text="" dxfId="0">
      <formula>AND(ISNUMBER(AA5),AA5&gt;0)</formula>
    </cfRule>
    <cfRule type="expression" priority="3" aboveAverage="0" equalAverage="0" bottom="0" percent="0" rank="0" text="" dxfId="1">
      <formula>AND(ISNUMBER(AA5),AA5&lt;0)</formula>
    </cfRule>
  </conditionalFormatting>
  <conditionalFormatting sqref="Q5:Q304">
    <cfRule type="expression" priority="4" aboveAverage="0" equalAverage="0" bottom="0" percent="0" rank="0" text="" dxfId="0">
      <formula>Q5="A+"</formula>
    </cfRule>
    <cfRule type="expression" priority="5" aboveAverage="0" equalAverage="0" bottom="0" percent="0" rank="0" text="" dxfId="9">
      <formula>Q5="B"</formula>
    </cfRule>
    <cfRule type="expression" priority="6" aboveAverage="0" equalAverage="0" bottom="0" percent="0" rank="0" text="" dxfId="1">
      <formula>Q5="C"</formula>
    </cfRule>
  </conditionalFormatting>
  <conditionalFormatting sqref="AD5:AD304">
    <cfRule type="expression" priority="7" aboveAverage="0" equalAverage="0" bottom="0" percent="0" rank="0" text="" dxfId="1">
      <formula>AD5="Non"</formula>
    </cfRule>
  </conditionalFormatting>
  <dataValidations count="16">
    <dataValidation allowBlank="true" error="Choisissez une valeur dans la liste (ou ajoutez-la dans la feuille Paramètres)." errorStyle="stop" errorTitle="Valeur non prévue" operator="between" showDropDown="false" showErrorMessage="true" showInputMessage="false" sqref="E5:E304" type="list">
      <formula1>Paramètres!$D$4:$D$15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F5:F304" type="list">
      <formula1>Paramètres!$E$4:$E$12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G5:G304" type="list">
      <formula1>Paramètres!$F$4:$F$12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H5:H304" type="list">
      <formula1>Paramètres!$G$4:$G$10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I5:I304" type="list">
      <formula1>Paramètres!$H$4:$H$11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J5:J304" type="list">
      <formula1>Paramètres!$I$4:$I$11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K5:K304" type="list">
      <formula1>Paramètres!$J$4:$J$17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L5:L304" type="list">
      <formula1>Paramètres!$K$4:$K$11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M5:M304" type="list">
      <formula1>Paramètres!$L$4:$L$10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N5:N304" type="list">
      <formula1>Paramètres!$M$4:$M$11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O5:O304" type="list">
      <formula1>Paramètres!$L$4:$L$10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Y5:Y304" type="list">
      <formula1>Paramètres!$N$4:$N$14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AD5:AD304" type="list">
      <formula1>Paramètres!$L$4:$L$10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AE5:AE304" type="list">
      <formula1>Paramètres!$O$4:$O$15</formula1>
      <formula2>0</formula2>
    </dataValidation>
    <dataValidation allowBlank="true" error="Choisissez une valeur dans la liste (ou ajoutez-la dans la feuille Paramètres)." errorStyle="stop" errorTitle="Valeur non prévue" operator="between" showDropDown="false" showErrorMessage="true" showInputMessage="false" sqref="AF5:AF304" type="list">
      <formula1>Paramètres!$P$4:$P$18</formula1>
      <formula2>0</formula2>
    </dataValidation>
    <dataValidation allowBlank="true" error="Risque entre 0 % et 5 % (ex. 0,5 % = 0,005)." errorStyle="stop" operator="between" showDropDown="false" showErrorMessage="true" showInputMessage="false" sqref="X5:X304" type="decimal">
      <formula1>0</formula1>
      <formula2>0.05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6"/>
    <col collapsed="false" customWidth="true" hidden="false" outlineLevel="0" max="4" min="4" style="0" width="34"/>
    <col collapsed="false" customWidth="true" hidden="false" outlineLevel="0" max="6" min="5" style="0" width="16"/>
  </cols>
  <sheetData>
    <row r="1" customFormat="false" ht="19.7" hidden="false" customHeight="false" outlineLevel="0" collapsed="false">
      <c r="A1" s="1" t="s">
        <v>133</v>
      </c>
    </row>
    <row r="2" customFormat="false" ht="15" hidden="false" customHeight="false" outlineLevel="0" collapsed="false">
      <c r="A2" s="6" t="s">
        <v>134</v>
      </c>
    </row>
    <row r="4" customFormat="false" ht="15" hidden="false" customHeight="false" outlineLevel="0" collapsed="false">
      <c r="A4" s="4" t="s">
        <v>135</v>
      </c>
      <c r="B4" s="4" t="s">
        <v>136</v>
      </c>
      <c r="C4" s="4" t="s">
        <v>137</v>
      </c>
      <c r="D4" s="4" t="s">
        <v>138</v>
      </c>
    </row>
    <row r="5" customFormat="false" ht="15" hidden="false" customHeight="false" outlineLevel="0" collapsed="false">
      <c r="A5" s="15" t="s">
        <v>139</v>
      </c>
      <c r="B5" s="38" t="n">
        <f aca="false">COUNTIF(Journal!$AA$5:$AA$304,"&gt;=-100")</f>
        <v>0</v>
      </c>
      <c r="C5" s="39"/>
      <c r="D5" s="39"/>
    </row>
    <row r="6" customFormat="false" ht="15" hidden="false" customHeight="false" outlineLevel="0" collapsed="false">
      <c r="A6" s="15" t="s">
        <v>140</v>
      </c>
      <c r="B6" s="40" t="n">
        <f aca="false">IFERROR(COUNTIF(Journal!$AA$5:$AA$304,"&gt;0")/B5,0)</f>
        <v>0</v>
      </c>
      <c r="C6" s="39"/>
      <c r="D6" s="39"/>
    </row>
    <row r="7" customFormat="false" ht="15" hidden="false" customHeight="false" outlineLevel="0" collapsed="false">
      <c r="A7" s="15" t="s">
        <v>141</v>
      </c>
      <c r="B7" s="40" t="n">
        <f aca="false">IFERROR((COUNTIF(Journal!$Y$5:$Y$304,"TP2")+COUNTIF(Journal!$Y$5:$Y$304,"TP1 + BE")+COUNTIF(Journal!$Y$5:$Y$304,"TP1 (100 %)"))/B5,0)</f>
        <v>0</v>
      </c>
      <c r="C7" s="41" t="n">
        <f aca="false">Paramètres!B8</f>
        <v>0.7</v>
      </c>
      <c r="D7" s="42" t="str">
        <f aca="false">IF(B5&lt;30,"Échantillon trop petit (&lt; 30 trades)",IF(B7&gt;=C7,"✔ Objectif atteint","✘ Pas encore"))</f>
        <v>Échantillon trop petit (&lt; 30 trades)</v>
      </c>
    </row>
    <row r="8" customFormat="false" ht="15" hidden="false" customHeight="false" outlineLevel="0" collapsed="false">
      <c r="A8" s="15" t="s">
        <v>142</v>
      </c>
      <c r="B8" s="40" t="n">
        <f aca="false">IFERROR(COUNTIF(Journal!$Y$5:$Y$304,"TP2")/B5,0)</f>
        <v>0</v>
      </c>
      <c r="C8" s="39"/>
      <c r="D8" s="39"/>
    </row>
    <row r="9" customFormat="false" ht="15" hidden="false" customHeight="false" outlineLevel="0" collapsed="false">
      <c r="A9" s="15" t="s">
        <v>143</v>
      </c>
      <c r="B9" s="43" t="n">
        <f aca="false">IFERROR(AVERAGE(Journal!$AA$5:$AA$304),0)</f>
        <v>0</v>
      </c>
      <c r="C9" s="44" t="n">
        <f aca="false">Paramètres!B9</f>
        <v>0.2</v>
      </c>
      <c r="D9" s="42" t="str">
        <f aca="false">IF(B5&lt;30,"Échantillon trop petit (&lt; 30 trades)",IF(B9&gt;=C9,"✔ Stratégie rentable","✘ Espérance insuffisante"))</f>
        <v>Échantillon trop petit (&lt; 30 trades)</v>
      </c>
    </row>
    <row r="10" customFormat="false" ht="15" hidden="false" customHeight="false" outlineLevel="0" collapsed="false">
      <c r="A10" s="15" t="s">
        <v>144</v>
      </c>
      <c r="B10" s="43" t="n">
        <f aca="false">SUM(Journal!$AA$5:$AA$304)</f>
        <v>0</v>
      </c>
      <c r="C10" s="39"/>
      <c r="D10" s="39"/>
    </row>
    <row r="11" customFormat="false" ht="15" hidden="false" customHeight="false" outlineLevel="0" collapsed="false">
      <c r="A11" s="15" t="s">
        <v>145</v>
      </c>
      <c r="B11" s="43" t="n">
        <f aca="false">IFERROR(AVERAGEIF(Journal!$AA$5:$AA$304,"&gt;0"),0)</f>
        <v>0</v>
      </c>
      <c r="C11" s="39"/>
      <c r="D11" s="39"/>
    </row>
    <row r="12" customFormat="false" ht="15" hidden="false" customHeight="false" outlineLevel="0" collapsed="false">
      <c r="A12" s="15" t="s">
        <v>146</v>
      </c>
      <c r="B12" s="43" t="n">
        <f aca="false">IFERROR(AVERAGEIF(Journal!$AA$5:$AA$304,"&lt;0"),0)</f>
        <v>0</v>
      </c>
      <c r="C12" s="39"/>
      <c r="D12" s="39"/>
    </row>
    <row r="13" customFormat="false" ht="15" hidden="false" customHeight="false" outlineLevel="0" collapsed="false">
      <c r="A13" s="15" t="s">
        <v>147</v>
      </c>
      <c r="B13" s="21" t="n">
        <f aca="false">IFERROR(SUMIF(Journal!$AA$5:$AA$304,"&gt;0")/-SUMIF(Journal!$AA$5:$AA$304,"&lt;0"),0)</f>
        <v>0</v>
      </c>
      <c r="C13" s="45" t="n">
        <v>1.3</v>
      </c>
      <c r="D13" s="42" t="str">
        <f aca="false">IF(B5&lt;30,"Échantillon trop petit (&lt; 30 trades)",IF(B13&gt;=C13,"✔ Bon","✘ À améliorer"))</f>
        <v>Échantillon trop petit (&lt; 30 trades)</v>
      </c>
    </row>
    <row r="14" customFormat="false" ht="15" hidden="false" customHeight="false" outlineLevel="0" collapsed="false">
      <c r="A14" s="15" t="s">
        <v>148</v>
      </c>
      <c r="B14" s="43" t="n">
        <f aca="false">MIN(0,MIN(Journal!$AK$5:$AK$304))</f>
        <v>0</v>
      </c>
      <c r="C14" s="39"/>
      <c r="D14" s="39"/>
    </row>
    <row r="15" customFormat="false" ht="15" hidden="false" customHeight="false" outlineLevel="0" collapsed="false">
      <c r="A15" s="15" t="s">
        <v>149</v>
      </c>
      <c r="B15" s="38" t="n">
        <f aca="false">MAX(0,MAX(Journal!$AL$5:$AL$304))</f>
        <v>0</v>
      </c>
      <c r="C15" s="39"/>
      <c r="D15" s="39"/>
    </row>
    <row r="16" customFormat="false" ht="15" hidden="false" customHeight="false" outlineLevel="0" collapsed="false">
      <c r="A16" s="15" t="s">
        <v>150</v>
      </c>
      <c r="B16" s="19" t="n">
        <f aca="false">Paramètres!B4*(1+SUM(Journal!$AB$5:$AB$304))</f>
        <v>1000</v>
      </c>
      <c r="C16" s="39"/>
      <c r="D16" s="39"/>
    </row>
    <row r="17" customFormat="false" ht="15" hidden="false" customHeight="false" outlineLevel="0" collapsed="false">
      <c r="A17" s="15" t="s">
        <v>151</v>
      </c>
      <c r="B17" s="46" t="n">
        <f aca="false">SUM(Journal!$AB$5:$AB$304)</f>
        <v>0</v>
      </c>
      <c r="C17" s="39"/>
      <c r="D17" s="39"/>
    </row>
    <row r="18" customFormat="false" ht="15" hidden="false" customHeight="false" outlineLevel="0" collapsed="false">
      <c r="A18" s="15" t="s">
        <v>152</v>
      </c>
      <c r="B18" s="40" t="n">
        <f aca="false">IFERROR(COUNTIF(Journal!$AD$5:$AD$304,"Oui")/(COUNTIF(Journal!$AD$5:$AD$304,"Oui")+COUNTIF(Journal!$AD$5:$AD$304,"Non")),0)</f>
        <v>0</v>
      </c>
      <c r="C18" s="41" t="n">
        <f aca="false">Paramètres!B13</f>
        <v>0.9</v>
      </c>
      <c r="D18" s="42" t="str">
        <f aca="false">IF(COUNTIF(Journal!$AD$5:$AD$304,"Oui")+COUNTIF(Journal!$AD$5:$AD$304,"Non")=0,"–",IF(B18&gt;=C18,"✔ Discipliné","✘ Revoir la discipline"))</f>
        <v>–</v>
      </c>
    </row>
    <row r="19" customFormat="false" ht="15" hidden="false" customHeight="false" outlineLevel="0" collapsed="false">
      <c r="A19" s="15" t="s">
        <v>153</v>
      </c>
      <c r="B19" s="40" t="n">
        <f aca="false">IFERROR(COUNTIFS(Journal!$Q$5:$Q$304,"A+",Journal!$AA$5:$AA$304,"&gt;=-100")/B5,0)</f>
        <v>0</v>
      </c>
      <c r="C19" s="39"/>
      <c r="D19" s="39"/>
    </row>
    <row r="21" customFormat="false" ht="15" hidden="false" customHeight="false" outlineLevel="0" collapsed="false">
      <c r="A21" s="6" t="s">
        <v>154</v>
      </c>
    </row>
    <row r="23" customFormat="false" ht="15" hidden="false" customHeight="false" outlineLevel="0" collapsed="false">
      <c r="A23" s="47" t="s">
        <v>155</v>
      </c>
    </row>
    <row r="24" customFormat="false" ht="15" hidden="false" customHeight="false" outlineLevel="0" collapsed="false">
      <c r="A24" s="4" t="s">
        <v>156</v>
      </c>
      <c r="B24" s="4" t="s">
        <v>157</v>
      </c>
      <c r="C24" s="4" t="s">
        <v>158</v>
      </c>
      <c r="D24" s="4" t="s">
        <v>159</v>
      </c>
      <c r="E24" s="4" t="s">
        <v>160</v>
      </c>
      <c r="F24" s="4" t="s">
        <v>161</v>
      </c>
    </row>
    <row r="25" customFormat="false" ht="15" hidden="false" customHeight="false" outlineLevel="0" collapsed="false">
      <c r="A25" s="48" t="str">
        <f aca="false">Paramètres!Q4</f>
        <v>A+</v>
      </c>
      <c r="B25" s="38" t="n">
        <f aca="false">COUNTIFS(Journal!$Q$5:$Q$304,$A25,Journal!$AA$5:$AA$304,"&gt;=-100")</f>
        <v>0</v>
      </c>
      <c r="C25" s="49" t="str">
        <f aca="false">IF(B25=0,"",COUNTIFS(Journal!$Q$5:$Q$304,$A25,Journal!$AA$5:$AA$304,"&gt;0")/B25)</f>
        <v/>
      </c>
      <c r="D25" s="49" t="str">
        <f aca="false">IF(B25=0,"",(COUNTIFS(Journal!$Q$5:$Q$304,$A25,Journal!$Y$5:$Y$304,"TP2")+COUNTIFS(Journal!$Q$5:$Q$304,$A25,Journal!$Y$5:$Y$304,"TP1 + BE")+COUNTIFS(Journal!$Q$5:$Q$304,$A25,Journal!$Y$5:$Y$304,"TP1 (100 %)"))/B25)</f>
        <v/>
      </c>
      <c r="E25" s="43" t="str">
        <f aca="false">IF(B25=0,"",F25/B25)</f>
        <v/>
      </c>
      <c r="F25" s="43" t="n">
        <f aca="false">SUMIFS(Journal!$AA$5:$AA$304,Journal!$Q$5:$Q$304,$A25)</f>
        <v>0</v>
      </c>
    </row>
    <row r="26" customFormat="false" ht="15" hidden="false" customHeight="false" outlineLevel="0" collapsed="false">
      <c r="A26" s="48" t="str">
        <f aca="false">Paramètres!Q5</f>
        <v>B</v>
      </c>
      <c r="B26" s="38" t="n">
        <f aca="false">COUNTIFS(Journal!$Q$5:$Q$304,$A26,Journal!$AA$5:$AA$304,"&gt;=-100")</f>
        <v>0</v>
      </c>
      <c r="C26" s="49" t="str">
        <f aca="false">IF(B26=0,"",COUNTIFS(Journal!$Q$5:$Q$304,$A26,Journal!$AA$5:$AA$304,"&gt;0")/B26)</f>
        <v/>
      </c>
      <c r="D26" s="49" t="str">
        <f aca="false">IF(B26=0,"",(COUNTIFS(Journal!$Q$5:$Q$304,$A26,Journal!$Y$5:$Y$304,"TP2")+COUNTIFS(Journal!$Q$5:$Q$304,$A26,Journal!$Y$5:$Y$304,"TP1 + BE")+COUNTIFS(Journal!$Q$5:$Q$304,$A26,Journal!$Y$5:$Y$304,"TP1 (100 %)"))/B26)</f>
        <v/>
      </c>
      <c r="E26" s="43" t="str">
        <f aca="false">IF(B26=0,"",F26/B26)</f>
        <v/>
      </c>
      <c r="F26" s="43" t="n">
        <f aca="false">SUMIFS(Journal!$AA$5:$AA$304,Journal!$Q$5:$Q$304,$A26)</f>
        <v>0</v>
      </c>
    </row>
    <row r="27" customFormat="false" ht="15" hidden="false" customHeight="false" outlineLevel="0" collapsed="false">
      <c r="A27" s="48" t="str">
        <f aca="false">Paramètres!Q6</f>
        <v>C</v>
      </c>
      <c r="B27" s="38" t="n">
        <f aca="false">COUNTIFS(Journal!$Q$5:$Q$304,$A27,Journal!$AA$5:$AA$304,"&gt;=-100")</f>
        <v>0</v>
      </c>
      <c r="C27" s="49" t="str">
        <f aca="false">IF(B27=0,"",COUNTIFS(Journal!$Q$5:$Q$304,$A27,Journal!$AA$5:$AA$304,"&gt;0")/B27)</f>
        <v/>
      </c>
      <c r="D27" s="49" t="str">
        <f aca="false">IF(B27=0,"",(COUNTIFS(Journal!$Q$5:$Q$304,$A27,Journal!$Y$5:$Y$304,"TP2")+COUNTIFS(Journal!$Q$5:$Q$304,$A27,Journal!$Y$5:$Y$304,"TP1 + BE")+COUNTIFS(Journal!$Q$5:$Q$304,$A27,Journal!$Y$5:$Y$304,"TP1 (100 %)"))/B27)</f>
        <v/>
      </c>
      <c r="E27" s="43" t="str">
        <f aca="false">IF(B27=0,"",F27/B27)</f>
        <v/>
      </c>
      <c r="F27" s="43" t="n">
        <f aca="false">SUMIFS(Journal!$AA$5:$AA$304,Journal!$Q$5:$Q$304,$A27)</f>
        <v>0</v>
      </c>
    </row>
    <row r="29" customFormat="false" ht="15" hidden="false" customHeight="false" outlineLevel="0" collapsed="false">
      <c r="A29" s="47" t="s">
        <v>162</v>
      </c>
    </row>
    <row r="30" customFormat="false" ht="15" hidden="false" customHeight="false" outlineLevel="0" collapsed="false">
      <c r="A30" s="4" t="s">
        <v>156</v>
      </c>
      <c r="B30" s="4" t="s">
        <v>157</v>
      </c>
      <c r="C30" s="4" t="s">
        <v>158</v>
      </c>
      <c r="D30" s="4" t="s">
        <v>159</v>
      </c>
      <c r="E30" s="4" t="s">
        <v>160</v>
      </c>
      <c r="F30" s="4" t="s">
        <v>161</v>
      </c>
    </row>
    <row r="31" customFormat="false" ht="15" hidden="false" customHeight="false" outlineLevel="0" collapsed="false">
      <c r="A31" s="48" t="str">
        <f aca="false">Paramètres!F4</f>
        <v>Londres</v>
      </c>
      <c r="B31" s="38" t="n">
        <f aca="false">COUNTIFS(Journal!$G$5:$G$304,$A31,Journal!$AA$5:$AA$304,"&gt;=-100")</f>
        <v>0</v>
      </c>
      <c r="C31" s="49" t="str">
        <f aca="false">IF(B31=0,"",COUNTIFS(Journal!$G$5:$G$304,$A31,Journal!$AA$5:$AA$304,"&gt;0")/B31)</f>
        <v/>
      </c>
      <c r="D31" s="49" t="str">
        <f aca="false">IF(B31=0,"",(COUNTIFS(Journal!$G$5:$G$304,$A31,Journal!$Y$5:$Y$304,"TP2")+COUNTIFS(Journal!$G$5:$G$304,$A31,Journal!$Y$5:$Y$304,"TP1 + BE")+COUNTIFS(Journal!$G$5:$G$304,$A31,Journal!$Y$5:$Y$304,"TP1 (100 %)"))/B31)</f>
        <v/>
      </c>
      <c r="E31" s="43" t="str">
        <f aca="false">IF(B31=0,"",F31/B31)</f>
        <v/>
      </c>
      <c r="F31" s="43" t="n">
        <f aca="false">SUMIFS(Journal!$AA$5:$AA$304,Journal!$G$5:$G$304,$A31)</f>
        <v>0</v>
      </c>
    </row>
    <row r="32" customFormat="false" ht="15" hidden="false" customHeight="false" outlineLevel="0" collapsed="false">
      <c r="A32" s="48" t="str">
        <f aca="false">Paramètres!F5</f>
        <v>New York</v>
      </c>
      <c r="B32" s="38" t="n">
        <f aca="false">COUNTIFS(Journal!$G$5:$G$304,$A32,Journal!$AA$5:$AA$304,"&gt;=-100")</f>
        <v>0</v>
      </c>
      <c r="C32" s="49" t="str">
        <f aca="false">IF(B32=0,"",COUNTIFS(Journal!$G$5:$G$304,$A32,Journal!$AA$5:$AA$304,"&gt;0")/B32)</f>
        <v/>
      </c>
      <c r="D32" s="49" t="str">
        <f aca="false">IF(B32=0,"",(COUNTIFS(Journal!$G$5:$G$304,$A32,Journal!$Y$5:$Y$304,"TP2")+COUNTIFS(Journal!$G$5:$G$304,$A32,Journal!$Y$5:$Y$304,"TP1 + BE")+COUNTIFS(Journal!$G$5:$G$304,$A32,Journal!$Y$5:$Y$304,"TP1 (100 %)"))/B32)</f>
        <v/>
      </c>
      <c r="E32" s="43" t="str">
        <f aca="false">IF(B32=0,"",F32/B32)</f>
        <v/>
      </c>
      <c r="F32" s="43" t="n">
        <f aca="false">SUMIFS(Journal!$AA$5:$AA$304,Journal!$G$5:$G$304,$A32)</f>
        <v>0</v>
      </c>
    </row>
    <row r="33" customFormat="false" ht="15" hidden="false" customHeight="false" outlineLevel="0" collapsed="false">
      <c r="A33" s="48" t="str">
        <f aca="false">Paramètres!F6</f>
        <v>Asie</v>
      </c>
      <c r="B33" s="38" t="n">
        <f aca="false">COUNTIFS(Journal!$G$5:$G$304,$A33,Journal!$AA$5:$AA$304,"&gt;=-100")</f>
        <v>0</v>
      </c>
      <c r="C33" s="49" t="str">
        <f aca="false">IF(B33=0,"",COUNTIFS(Journal!$G$5:$G$304,$A33,Journal!$AA$5:$AA$304,"&gt;0")/B33)</f>
        <v/>
      </c>
      <c r="D33" s="49" t="str">
        <f aca="false">IF(B33=0,"",(COUNTIFS(Journal!$G$5:$G$304,$A33,Journal!$Y$5:$Y$304,"TP2")+COUNTIFS(Journal!$G$5:$G$304,$A33,Journal!$Y$5:$Y$304,"TP1 + BE")+COUNTIFS(Journal!$G$5:$G$304,$A33,Journal!$Y$5:$Y$304,"TP1 (100 %)"))/B33)</f>
        <v/>
      </c>
      <c r="E33" s="43" t="str">
        <f aca="false">IF(B33=0,"",F33/B33)</f>
        <v/>
      </c>
      <c r="F33" s="43" t="n">
        <f aca="false">SUMIFS(Journal!$AA$5:$AA$304,Journal!$G$5:$G$304,$A33)</f>
        <v>0</v>
      </c>
    </row>
    <row r="34" customFormat="false" ht="15" hidden="false" customHeight="false" outlineLevel="0" collapsed="false">
      <c r="A34" s="48" t="str">
        <f aca="false">Paramètres!F7</f>
        <v>Hors killzone</v>
      </c>
      <c r="B34" s="38" t="n">
        <f aca="false">COUNTIFS(Journal!$G$5:$G$304,$A34,Journal!$AA$5:$AA$304,"&gt;=-100")</f>
        <v>0</v>
      </c>
      <c r="C34" s="49" t="str">
        <f aca="false">IF(B34=0,"",COUNTIFS(Journal!$G$5:$G$304,$A34,Journal!$AA$5:$AA$304,"&gt;0")/B34)</f>
        <v/>
      </c>
      <c r="D34" s="49" t="str">
        <f aca="false">IF(B34=0,"",(COUNTIFS(Journal!$G$5:$G$304,$A34,Journal!$Y$5:$Y$304,"TP2")+COUNTIFS(Journal!$G$5:$G$304,$A34,Journal!$Y$5:$Y$304,"TP1 + BE")+COUNTIFS(Journal!$G$5:$G$304,$A34,Journal!$Y$5:$Y$304,"TP1 (100 %)"))/B34)</f>
        <v/>
      </c>
      <c r="E34" s="43" t="str">
        <f aca="false">IF(B34=0,"",F34/B34)</f>
        <v/>
      </c>
      <c r="F34" s="43" t="n">
        <f aca="false">SUMIFS(Journal!$AA$5:$AA$304,Journal!$G$5:$G$304,$A34)</f>
        <v>0</v>
      </c>
    </row>
    <row r="36" customFormat="false" ht="15" hidden="false" customHeight="false" outlineLevel="0" collapsed="false">
      <c r="A36" s="47" t="s">
        <v>163</v>
      </c>
    </row>
    <row r="37" customFormat="false" ht="15" hidden="false" customHeight="false" outlineLevel="0" collapsed="false">
      <c r="A37" s="4" t="s">
        <v>156</v>
      </c>
      <c r="B37" s="4" t="s">
        <v>157</v>
      </c>
      <c r="C37" s="4" t="s">
        <v>158</v>
      </c>
      <c r="D37" s="4" t="s">
        <v>159</v>
      </c>
      <c r="E37" s="4" t="s">
        <v>160</v>
      </c>
      <c r="F37" s="4" t="s">
        <v>161</v>
      </c>
    </row>
    <row r="38" customFormat="false" ht="15" hidden="false" customHeight="false" outlineLevel="0" collapsed="false">
      <c r="A38" s="48" t="str">
        <f aca="false">Paramètres!D4</f>
        <v>XAUUSD</v>
      </c>
      <c r="B38" s="38" t="n">
        <f aca="false">COUNTIFS(Journal!$E$5:$E$304,$A38,Journal!$AA$5:$AA$304,"&gt;=-100")</f>
        <v>0</v>
      </c>
      <c r="C38" s="49" t="str">
        <f aca="false">IF(B38=0,"",COUNTIFS(Journal!$E$5:$E$304,$A38,Journal!$AA$5:$AA$304,"&gt;0")/B38)</f>
        <v/>
      </c>
      <c r="D38" s="49" t="str">
        <f aca="false">IF(B38=0,"",(COUNTIFS(Journal!$E$5:$E$304,$A38,Journal!$Y$5:$Y$304,"TP2")+COUNTIFS(Journal!$E$5:$E$304,$A38,Journal!$Y$5:$Y$304,"TP1 + BE")+COUNTIFS(Journal!$E$5:$E$304,$A38,Journal!$Y$5:$Y$304,"TP1 (100 %)"))/B38)</f>
        <v/>
      </c>
      <c r="E38" s="43" t="str">
        <f aca="false">IF(B38=0,"",F38/B38)</f>
        <v/>
      </c>
      <c r="F38" s="43" t="n">
        <f aca="false">SUMIFS(Journal!$AA$5:$AA$304,Journal!$E$5:$E$304,$A38)</f>
        <v>0</v>
      </c>
    </row>
    <row r="39" customFormat="false" ht="15" hidden="false" customHeight="false" outlineLevel="0" collapsed="false">
      <c r="A39" s="48" t="str">
        <f aca="false">Paramètres!D5</f>
        <v>EURUSD</v>
      </c>
      <c r="B39" s="38" t="n">
        <f aca="false">COUNTIFS(Journal!$E$5:$E$304,$A39,Journal!$AA$5:$AA$304,"&gt;=-100")</f>
        <v>0</v>
      </c>
      <c r="C39" s="49" t="str">
        <f aca="false">IF(B39=0,"",COUNTIFS(Journal!$E$5:$E$304,$A39,Journal!$AA$5:$AA$304,"&gt;0")/B39)</f>
        <v/>
      </c>
      <c r="D39" s="49" t="str">
        <f aca="false">IF(B39=0,"",(COUNTIFS(Journal!$E$5:$E$304,$A39,Journal!$Y$5:$Y$304,"TP2")+COUNTIFS(Journal!$E$5:$E$304,$A39,Journal!$Y$5:$Y$304,"TP1 + BE")+COUNTIFS(Journal!$E$5:$E$304,$A39,Journal!$Y$5:$Y$304,"TP1 (100 %)"))/B39)</f>
        <v/>
      </c>
      <c r="E39" s="43" t="str">
        <f aca="false">IF(B39=0,"",F39/B39)</f>
        <v/>
      </c>
      <c r="F39" s="43" t="n">
        <f aca="false">SUMIFS(Journal!$AA$5:$AA$304,Journal!$E$5:$E$304,$A39)</f>
        <v>0</v>
      </c>
    </row>
    <row r="40" customFormat="false" ht="15" hidden="false" customHeight="false" outlineLevel="0" collapsed="false">
      <c r="A40" s="48" t="str">
        <f aca="false">Paramètres!D6</f>
        <v>GBPUSD</v>
      </c>
      <c r="B40" s="38" t="n">
        <f aca="false">COUNTIFS(Journal!$E$5:$E$304,$A40,Journal!$AA$5:$AA$304,"&gt;=-100")</f>
        <v>0</v>
      </c>
      <c r="C40" s="49" t="str">
        <f aca="false">IF(B40=0,"",COUNTIFS(Journal!$E$5:$E$304,$A40,Journal!$AA$5:$AA$304,"&gt;0")/B40)</f>
        <v/>
      </c>
      <c r="D40" s="49" t="str">
        <f aca="false">IF(B40=0,"",(COUNTIFS(Journal!$E$5:$E$304,$A40,Journal!$Y$5:$Y$304,"TP2")+COUNTIFS(Journal!$E$5:$E$304,$A40,Journal!$Y$5:$Y$304,"TP1 + BE")+COUNTIFS(Journal!$E$5:$E$304,$A40,Journal!$Y$5:$Y$304,"TP1 (100 %)"))/B40)</f>
        <v/>
      </c>
      <c r="E40" s="43" t="str">
        <f aca="false">IF(B40=0,"",F40/B40)</f>
        <v/>
      </c>
      <c r="F40" s="43" t="n">
        <f aca="false">SUMIFS(Journal!$AA$5:$AA$304,Journal!$E$5:$E$304,$A40)</f>
        <v>0</v>
      </c>
    </row>
    <row r="41" customFormat="false" ht="15" hidden="false" customHeight="false" outlineLevel="0" collapsed="false">
      <c r="A41" s="48" t="str">
        <f aca="false">Paramètres!D7</f>
        <v>USDJPY</v>
      </c>
      <c r="B41" s="38" t="n">
        <f aca="false">COUNTIFS(Journal!$E$5:$E$304,$A41,Journal!$AA$5:$AA$304,"&gt;=-100")</f>
        <v>0</v>
      </c>
      <c r="C41" s="49" t="str">
        <f aca="false">IF(B41=0,"",COUNTIFS(Journal!$E$5:$E$304,$A41,Journal!$AA$5:$AA$304,"&gt;0")/B41)</f>
        <v/>
      </c>
      <c r="D41" s="49" t="str">
        <f aca="false">IF(B41=0,"",(COUNTIFS(Journal!$E$5:$E$304,$A41,Journal!$Y$5:$Y$304,"TP2")+COUNTIFS(Journal!$E$5:$E$304,$A41,Journal!$Y$5:$Y$304,"TP1 + BE")+COUNTIFS(Journal!$E$5:$E$304,$A41,Journal!$Y$5:$Y$304,"TP1 (100 %)"))/B41)</f>
        <v/>
      </c>
      <c r="E41" s="43" t="str">
        <f aca="false">IF(B41=0,"",F41/B41)</f>
        <v/>
      </c>
      <c r="F41" s="43" t="n">
        <f aca="false">SUMIFS(Journal!$AA$5:$AA$304,Journal!$E$5:$E$304,$A41)</f>
        <v>0</v>
      </c>
    </row>
    <row r="42" customFormat="false" ht="15" hidden="false" customHeight="false" outlineLevel="0" collapsed="false">
      <c r="A42" s="48" t="str">
        <f aca="false">Paramètres!D8</f>
        <v>NAS100</v>
      </c>
      <c r="B42" s="38" t="n">
        <f aca="false">COUNTIFS(Journal!$E$5:$E$304,$A42,Journal!$AA$5:$AA$304,"&gt;=-100")</f>
        <v>0</v>
      </c>
      <c r="C42" s="49" t="str">
        <f aca="false">IF(B42=0,"",COUNTIFS(Journal!$E$5:$E$304,$A42,Journal!$AA$5:$AA$304,"&gt;0")/B42)</f>
        <v/>
      </c>
      <c r="D42" s="49" t="str">
        <f aca="false">IF(B42=0,"",(COUNTIFS(Journal!$E$5:$E$304,$A42,Journal!$Y$5:$Y$304,"TP2")+COUNTIFS(Journal!$E$5:$E$304,$A42,Journal!$Y$5:$Y$304,"TP1 + BE")+COUNTIFS(Journal!$E$5:$E$304,$A42,Journal!$Y$5:$Y$304,"TP1 (100 %)"))/B42)</f>
        <v/>
      </c>
      <c r="E42" s="43" t="str">
        <f aca="false">IF(B42=0,"",F42/B42)</f>
        <v/>
      </c>
      <c r="F42" s="43" t="n">
        <f aca="false">SUMIFS(Journal!$AA$5:$AA$304,Journal!$E$5:$E$304,$A42)</f>
        <v>0</v>
      </c>
    </row>
    <row r="43" customFormat="false" ht="15" hidden="false" customHeight="false" outlineLevel="0" collapsed="false">
      <c r="A43" s="48" t="str">
        <f aca="false">Paramètres!D9</f>
        <v>US30</v>
      </c>
      <c r="B43" s="38" t="n">
        <f aca="false">COUNTIFS(Journal!$E$5:$E$304,$A43,Journal!$AA$5:$AA$304,"&gt;=-100")</f>
        <v>0</v>
      </c>
      <c r="C43" s="49" t="str">
        <f aca="false">IF(B43=0,"",COUNTIFS(Journal!$E$5:$E$304,$A43,Journal!$AA$5:$AA$304,"&gt;0")/B43)</f>
        <v/>
      </c>
      <c r="D43" s="49" t="str">
        <f aca="false">IF(B43=0,"",(COUNTIFS(Journal!$E$5:$E$304,$A43,Journal!$Y$5:$Y$304,"TP2")+COUNTIFS(Journal!$E$5:$E$304,$A43,Journal!$Y$5:$Y$304,"TP1 + BE")+COUNTIFS(Journal!$E$5:$E$304,$A43,Journal!$Y$5:$Y$304,"TP1 (100 %)"))/B43)</f>
        <v/>
      </c>
      <c r="E43" s="43" t="str">
        <f aca="false">IF(B43=0,"",F43/B43)</f>
        <v/>
      </c>
      <c r="F43" s="43" t="n">
        <f aca="false">SUMIFS(Journal!$AA$5:$AA$304,Journal!$E$5:$E$304,$A43)</f>
        <v>0</v>
      </c>
    </row>
    <row r="44" customFormat="false" ht="15" hidden="false" customHeight="false" outlineLevel="0" collapsed="false">
      <c r="A44" s="48" t="str">
        <f aca="false">Paramètres!D10</f>
        <v>Autre</v>
      </c>
      <c r="B44" s="38" t="n">
        <f aca="false">COUNTIFS(Journal!$E$5:$E$304,$A44,Journal!$AA$5:$AA$304,"&gt;=-100")</f>
        <v>0</v>
      </c>
      <c r="C44" s="49" t="str">
        <f aca="false">IF(B44=0,"",COUNTIFS(Journal!$E$5:$E$304,$A44,Journal!$AA$5:$AA$304,"&gt;0")/B44)</f>
        <v/>
      </c>
      <c r="D44" s="49" t="str">
        <f aca="false">IF(B44=0,"",(COUNTIFS(Journal!$E$5:$E$304,$A44,Journal!$Y$5:$Y$304,"TP2")+COUNTIFS(Journal!$E$5:$E$304,$A44,Journal!$Y$5:$Y$304,"TP1 + BE")+COUNTIFS(Journal!$E$5:$E$304,$A44,Journal!$Y$5:$Y$304,"TP1 (100 %)"))/B44)</f>
        <v/>
      </c>
      <c r="E44" s="43" t="str">
        <f aca="false">IF(B44=0,"",F44/B44)</f>
        <v/>
      </c>
      <c r="F44" s="43" t="n">
        <f aca="false">SUMIFS(Journal!$AA$5:$AA$304,Journal!$E$5:$E$304,$A44)</f>
        <v>0</v>
      </c>
    </row>
    <row r="46" customFormat="false" ht="15" hidden="false" customHeight="false" outlineLevel="0" collapsed="false">
      <c r="A46" s="47" t="s">
        <v>164</v>
      </c>
    </row>
    <row r="47" customFormat="false" ht="15" hidden="false" customHeight="false" outlineLevel="0" collapsed="false">
      <c r="A47" s="4" t="s">
        <v>156</v>
      </c>
      <c r="B47" s="4" t="s">
        <v>157</v>
      </c>
      <c r="C47" s="4" t="s">
        <v>158</v>
      </c>
      <c r="D47" s="4" t="s">
        <v>159</v>
      </c>
      <c r="E47" s="4" t="s">
        <v>160</v>
      </c>
      <c r="F47" s="4" t="s">
        <v>161</v>
      </c>
    </row>
    <row r="48" customFormat="false" ht="15" hidden="false" customHeight="false" outlineLevel="0" collapsed="false">
      <c r="A48" s="48" t="str">
        <f aca="false">Paramètres!J4</f>
        <v>PDH</v>
      </c>
      <c r="B48" s="38" t="n">
        <f aca="false">COUNTIFS(Journal!$K$5:$K$304,$A48,Journal!$AA$5:$AA$304,"&gt;=-100")</f>
        <v>0</v>
      </c>
      <c r="C48" s="49" t="str">
        <f aca="false">IF(B48=0,"",COUNTIFS(Journal!$K$5:$K$304,$A48,Journal!$AA$5:$AA$304,"&gt;0")/B48)</f>
        <v/>
      </c>
      <c r="D48" s="49" t="str">
        <f aca="false">IF(B48=0,"",(COUNTIFS(Journal!$K$5:$K$304,$A48,Journal!$Y$5:$Y$304,"TP2")+COUNTIFS(Journal!$K$5:$K$304,$A48,Journal!$Y$5:$Y$304,"TP1 + BE")+COUNTIFS(Journal!$K$5:$K$304,$A48,Journal!$Y$5:$Y$304,"TP1 (100 %)"))/B48)</f>
        <v/>
      </c>
      <c r="E48" s="43" t="str">
        <f aca="false">IF(B48=0,"",F48/B48)</f>
        <v/>
      </c>
      <c r="F48" s="43" t="n">
        <f aca="false">SUMIFS(Journal!$AA$5:$AA$304,Journal!$K$5:$K$304,$A48)</f>
        <v>0</v>
      </c>
    </row>
    <row r="49" customFormat="false" ht="15" hidden="false" customHeight="false" outlineLevel="0" collapsed="false">
      <c r="A49" s="48" t="str">
        <f aca="false">Paramètres!J5</f>
        <v>PDL</v>
      </c>
      <c r="B49" s="38" t="n">
        <f aca="false">COUNTIFS(Journal!$K$5:$K$304,$A49,Journal!$AA$5:$AA$304,"&gt;=-100")</f>
        <v>0</v>
      </c>
      <c r="C49" s="49" t="str">
        <f aca="false">IF(B49=0,"",COUNTIFS(Journal!$K$5:$K$304,$A49,Journal!$AA$5:$AA$304,"&gt;0")/B49)</f>
        <v/>
      </c>
      <c r="D49" s="49" t="str">
        <f aca="false">IF(B49=0,"",(COUNTIFS(Journal!$K$5:$K$304,$A49,Journal!$Y$5:$Y$304,"TP2")+COUNTIFS(Journal!$K$5:$K$304,$A49,Journal!$Y$5:$Y$304,"TP1 + BE")+COUNTIFS(Journal!$K$5:$K$304,$A49,Journal!$Y$5:$Y$304,"TP1 (100 %)"))/B49)</f>
        <v/>
      </c>
      <c r="E49" s="43" t="str">
        <f aca="false">IF(B49=0,"",F49/B49)</f>
        <v/>
      </c>
      <c r="F49" s="43" t="n">
        <f aca="false">SUMIFS(Journal!$AA$5:$AA$304,Journal!$K$5:$K$304,$A49)</f>
        <v>0</v>
      </c>
    </row>
    <row r="50" customFormat="false" ht="15" hidden="false" customHeight="false" outlineLevel="0" collapsed="false">
      <c r="A50" s="48" t="str">
        <f aca="false">Paramètres!J6</f>
        <v>AS H</v>
      </c>
      <c r="B50" s="38" t="n">
        <f aca="false">COUNTIFS(Journal!$K$5:$K$304,$A50,Journal!$AA$5:$AA$304,"&gt;=-100")</f>
        <v>0</v>
      </c>
      <c r="C50" s="49" t="str">
        <f aca="false">IF(B50=0,"",COUNTIFS(Journal!$K$5:$K$304,$A50,Journal!$AA$5:$AA$304,"&gt;0")/B50)</f>
        <v/>
      </c>
      <c r="D50" s="49" t="str">
        <f aca="false">IF(B50=0,"",(COUNTIFS(Journal!$K$5:$K$304,$A50,Journal!$Y$5:$Y$304,"TP2")+COUNTIFS(Journal!$K$5:$K$304,$A50,Journal!$Y$5:$Y$304,"TP1 + BE")+COUNTIFS(Journal!$K$5:$K$304,$A50,Journal!$Y$5:$Y$304,"TP1 (100 %)"))/B50)</f>
        <v/>
      </c>
      <c r="E50" s="43" t="str">
        <f aca="false">IF(B50=0,"",F50/B50)</f>
        <v/>
      </c>
      <c r="F50" s="43" t="n">
        <f aca="false">SUMIFS(Journal!$AA$5:$AA$304,Journal!$K$5:$K$304,$A50)</f>
        <v>0</v>
      </c>
    </row>
    <row r="51" customFormat="false" ht="15" hidden="false" customHeight="false" outlineLevel="0" collapsed="false">
      <c r="A51" s="48" t="str">
        <f aca="false">Paramètres!J7</f>
        <v>AS L</v>
      </c>
      <c r="B51" s="38" t="n">
        <f aca="false">COUNTIFS(Journal!$K$5:$K$304,$A51,Journal!$AA$5:$AA$304,"&gt;=-100")</f>
        <v>0</v>
      </c>
      <c r="C51" s="49" t="str">
        <f aca="false">IF(B51=0,"",COUNTIFS(Journal!$K$5:$K$304,$A51,Journal!$AA$5:$AA$304,"&gt;0")/B51)</f>
        <v/>
      </c>
      <c r="D51" s="49" t="str">
        <f aca="false">IF(B51=0,"",(COUNTIFS(Journal!$K$5:$K$304,$A51,Journal!$Y$5:$Y$304,"TP2")+COUNTIFS(Journal!$K$5:$K$304,$A51,Journal!$Y$5:$Y$304,"TP1 + BE")+COUNTIFS(Journal!$K$5:$K$304,$A51,Journal!$Y$5:$Y$304,"TP1 (100 %)"))/B51)</f>
        <v/>
      </c>
      <c r="E51" s="43" t="str">
        <f aca="false">IF(B51=0,"",F51/B51)</f>
        <v/>
      </c>
      <c r="F51" s="43" t="n">
        <f aca="false">SUMIFS(Journal!$AA$5:$AA$304,Journal!$K$5:$K$304,$A51)</f>
        <v>0</v>
      </c>
    </row>
    <row r="52" customFormat="false" ht="15" hidden="false" customHeight="false" outlineLevel="0" collapsed="false">
      <c r="A52" s="48" t="str">
        <f aca="false">Paramètres!J8</f>
        <v>EQH</v>
      </c>
      <c r="B52" s="38" t="n">
        <f aca="false">COUNTIFS(Journal!$K$5:$K$304,$A52,Journal!$AA$5:$AA$304,"&gt;=-100")</f>
        <v>0</v>
      </c>
      <c r="C52" s="49" t="str">
        <f aca="false">IF(B52=0,"",COUNTIFS(Journal!$K$5:$K$304,$A52,Journal!$AA$5:$AA$304,"&gt;0")/B52)</f>
        <v/>
      </c>
      <c r="D52" s="49" t="str">
        <f aca="false">IF(B52=0,"",(COUNTIFS(Journal!$K$5:$K$304,$A52,Journal!$Y$5:$Y$304,"TP2")+COUNTIFS(Journal!$K$5:$K$304,$A52,Journal!$Y$5:$Y$304,"TP1 + BE")+COUNTIFS(Journal!$K$5:$K$304,$A52,Journal!$Y$5:$Y$304,"TP1 (100 %)"))/B52)</f>
        <v/>
      </c>
      <c r="E52" s="43" t="str">
        <f aca="false">IF(B52=0,"",F52/B52)</f>
        <v/>
      </c>
      <c r="F52" s="43" t="n">
        <f aca="false">SUMIFS(Journal!$AA$5:$AA$304,Journal!$K$5:$K$304,$A52)</f>
        <v>0</v>
      </c>
    </row>
    <row r="53" customFormat="false" ht="15" hidden="false" customHeight="false" outlineLevel="0" collapsed="false">
      <c r="A53" s="48" t="str">
        <f aca="false">Paramètres!J9</f>
        <v>EQL</v>
      </c>
      <c r="B53" s="38" t="n">
        <f aca="false">COUNTIFS(Journal!$K$5:$K$304,$A53,Journal!$AA$5:$AA$304,"&gt;=-100")</f>
        <v>0</v>
      </c>
      <c r="C53" s="49" t="str">
        <f aca="false">IF(B53=0,"",COUNTIFS(Journal!$K$5:$K$304,$A53,Journal!$AA$5:$AA$304,"&gt;0")/B53)</f>
        <v/>
      </c>
      <c r="D53" s="49" t="str">
        <f aca="false">IF(B53=0,"",(COUNTIFS(Journal!$K$5:$K$304,$A53,Journal!$Y$5:$Y$304,"TP2")+COUNTIFS(Journal!$K$5:$K$304,$A53,Journal!$Y$5:$Y$304,"TP1 + BE")+COUNTIFS(Journal!$K$5:$K$304,$A53,Journal!$Y$5:$Y$304,"TP1 (100 %)"))/B53)</f>
        <v/>
      </c>
      <c r="E53" s="43" t="str">
        <f aca="false">IF(B53=0,"",F53/B53)</f>
        <v/>
      </c>
      <c r="F53" s="43" t="n">
        <f aca="false">SUMIFS(Journal!$AA$5:$AA$304,Journal!$K$5:$K$304,$A53)</f>
        <v>0</v>
      </c>
    </row>
    <row r="54" customFormat="false" ht="15" hidden="false" customHeight="false" outlineLevel="0" collapsed="false">
      <c r="A54" s="48" t="str">
        <f aca="false">Paramètres!J10</f>
        <v>BSL</v>
      </c>
      <c r="B54" s="38" t="n">
        <f aca="false">COUNTIFS(Journal!$K$5:$K$304,$A54,Journal!$AA$5:$AA$304,"&gt;=-100")</f>
        <v>0</v>
      </c>
      <c r="C54" s="49" t="str">
        <f aca="false">IF(B54=0,"",COUNTIFS(Journal!$K$5:$K$304,$A54,Journal!$AA$5:$AA$304,"&gt;0")/B54)</f>
        <v/>
      </c>
      <c r="D54" s="49" t="str">
        <f aca="false">IF(B54=0,"",(COUNTIFS(Journal!$K$5:$K$304,$A54,Journal!$Y$5:$Y$304,"TP2")+COUNTIFS(Journal!$K$5:$K$304,$A54,Journal!$Y$5:$Y$304,"TP1 + BE")+COUNTIFS(Journal!$K$5:$K$304,$A54,Journal!$Y$5:$Y$304,"TP1 (100 %)"))/B54)</f>
        <v/>
      </c>
      <c r="E54" s="43" t="str">
        <f aca="false">IF(B54=0,"",F54/B54)</f>
        <v/>
      </c>
      <c r="F54" s="43" t="n">
        <f aca="false">SUMIFS(Journal!$AA$5:$AA$304,Journal!$K$5:$K$304,$A54)</f>
        <v>0</v>
      </c>
    </row>
    <row r="55" customFormat="false" ht="15" hidden="false" customHeight="false" outlineLevel="0" collapsed="false">
      <c r="A55" s="48" t="str">
        <f aca="false">Paramètres!J11</f>
        <v>SSL</v>
      </c>
      <c r="B55" s="38" t="n">
        <f aca="false">COUNTIFS(Journal!$K$5:$K$304,$A55,Journal!$AA$5:$AA$304,"&gt;=-100")</f>
        <v>0</v>
      </c>
      <c r="C55" s="49" t="str">
        <f aca="false">IF(B55=0,"",COUNTIFS(Journal!$K$5:$K$304,$A55,Journal!$AA$5:$AA$304,"&gt;0")/B55)</f>
        <v/>
      </c>
      <c r="D55" s="49" t="str">
        <f aca="false">IF(B55=0,"",(COUNTIFS(Journal!$K$5:$K$304,$A55,Journal!$Y$5:$Y$304,"TP2")+COUNTIFS(Journal!$K$5:$K$304,$A55,Journal!$Y$5:$Y$304,"TP1 + BE")+COUNTIFS(Journal!$K$5:$K$304,$A55,Journal!$Y$5:$Y$304,"TP1 (100 %)"))/B55)</f>
        <v/>
      </c>
      <c r="E55" s="43" t="str">
        <f aca="false">IF(B55=0,"",F55/B55)</f>
        <v/>
      </c>
      <c r="F55" s="43" t="n">
        <f aca="false">SUMIFS(Journal!$AA$5:$AA$304,Journal!$K$5:$K$304,$A55)</f>
        <v>0</v>
      </c>
    </row>
    <row r="56" customFormat="false" ht="15" hidden="false" customHeight="false" outlineLevel="0" collapsed="false">
      <c r="A56" s="48" t="str">
        <f aca="false">Paramètres!J12</f>
        <v>Aucune</v>
      </c>
      <c r="B56" s="38" t="n">
        <f aca="false">COUNTIFS(Journal!$K$5:$K$304,$A56,Journal!$AA$5:$AA$304,"&gt;=-100")</f>
        <v>0</v>
      </c>
      <c r="C56" s="49" t="str">
        <f aca="false">IF(B56=0,"",COUNTIFS(Journal!$K$5:$K$304,$A56,Journal!$AA$5:$AA$304,"&gt;0")/B56)</f>
        <v/>
      </c>
      <c r="D56" s="49" t="str">
        <f aca="false">IF(B56=0,"",(COUNTIFS(Journal!$K$5:$K$304,$A56,Journal!$Y$5:$Y$304,"TP2")+COUNTIFS(Journal!$K$5:$K$304,$A56,Journal!$Y$5:$Y$304,"TP1 + BE")+COUNTIFS(Journal!$K$5:$K$304,$A56,Journal!$Y$5:$Y$304,"TP1 (100 %)"))/B56)</f>
        <v/>
      </c>
      <c r="E56" s="43" t="str">
        <f aca="false">IF(B56=0,"",F56/B56)</f>
        <v/>
      </c>
      <c r="F56" s="43" t="n">
        <f aca="false">SUMIFS(Journal!$AA$5:$AA$304,Journal!$K$5:$K$304,$A56)</f>
        <v>0</v>
      </c>
    </row>
    <row r="58" customFormat="false" ht="15" hidden="false" customHeight="false" outlineLevel="0" collapsed="false">
      <c r="A58" s="47" t="s">
        <v>165</v>
      </c>
    </row>
    <row r="59" customFormat="false" ht="15" hidden="false" customHeight="false" outlineLevel="0" collapsed="false">
      <c r="A59" s="4" t="s">
        <v>156</v>
      </c>
      <c r="B59" s="4" t="s">
        <v>157</v>
      </c>
      <c r="C59" s="4" t="s">
        <v>158</v>
      </c>
      <c r="D59" s="4" t="s">
        <v>159</v>
      </c>
      <c r="E59" s="4" t="s">
        <v>160</v>
      </c>
      <c r="F59" s="4" t="s">
        <v>161</v>
      </c>
    </row>
    <row r="60" customFormat="false" ht="15" hidden="false" customHeight="false" outlineLevel="0" collapsed="false">
      <c r="A60" s="48" t="str">
        <f aca="false">Paramètres!G4</f>
        <v>Achat</v>
      </c>
      <c r="B60" s="38" t="n">
        <f aca="false">COUNTIFS(Journal!$H$5:$H$304,$A60,Journal!$AA$5:$AA$304,"&gt;=-100")</f>
        <v>0</v>
      </c>
      <c r="C60" s="49" t="str">
        <f aca="false">IF(B60=0,"",COUNTIFS(Journal!$H$5:$H$304,$A60,Journal!$AA$5:$AA$304,"&gt;0")/B60)</f>
        <v/>
      </c>
      <c r="D60" s="49" t="str">
        <f aca="false">IF(B60=0,"",(COUNTIFS(Journal!$H$5:$H$304,$A60,Journal!$Y$5:$Y$304,"TP2")+COUNTIFS(Journal!$H$5:$H$304,$A60,Journal!$Y$5:$Y$304,"TP1 + BE")+COUNTIFS(Journal!$H$5:$H$304,$A60,Journal!$Y$5:$Y$304,"TP1 (100 %)"))/B60)</f>
        <v/>
      </c>
      <c r="E60" s="43" t="str">
        <f aca="false">IF(B60=0,"",F60/B60)</f>
        <v/>
      </c>
      <c r="F60" s="43" t="n">
        <f aca="false">SUMIFS(Journal!$AA$5:$AA$304,Journal!$H$5:$H$304,$A60)</f>
        <v>0</v>
      </c>
    </row>
    <row r="61" customFormat="false" ht="15" hidden="false" customHeight="false" outlineLevel="0" collapsed="false">
      <c r="A61" s="48" t="str">
        <f aca="false">Paramètres!G5</f>
        <v>Vente</v>
      </c>
      <c r="B61" s="38" t="n">
        <f aca="false">COUNTIFS(Journal!$H$5:$H$304,$A61,Journal!$AA$5:$AA$304,"&gt;=-100")</f>
        <v>0</v>
      </c>
      <c r="C61" s="49" t="str">
        <f aca="false">IF(B61=0,"",COUNTIFS(Journal!$H$5:$H$304,$A61,Journal!$AA$5:$AA$304,"&gt;0")/B61)</f>
        <v/>
      </c>
      <c r="D61" s="49" t="str">
        <f aca="false">IF(B61=0,"",(COUNTIFS(Journal!$H$5:$H$304,$A61,Journal!$Y$5:$Y$304,"TP2")+COUNTIFS(Journal!$H$5:$H$304,$A61,Journal!$Y$5:$Y$304,"TP1 + BE")+COUNTIFS(Journal!$H$5:$H$304,$A61,Journal!$Y$5:$Y$304,"TP1 (100 %)"))/B61)</f>
        <v/>
      </c>
      <c r="E61" s="43" t="str">
        <f aca="false">IF(B61=0,"",F61/B61)</f>
        <v/>
      </c>
      <c r="F61" s="43" t="n">
        <f aca="false">SUMIFS(Journal!$AA$5:$AA$304,Journal!$H$5:$H$304,$A61)</f>
        <v>0</v>
      </c>
    </row>
    <row r="63" customFormat="false" ht="15" hidden="false" customHeight="false" outlineLevel="0" collapsed="false">
      <c r="A63" s="47" t="s">
        <v>166</v>
      </c>
    </row>
    <row r="64" customFormat="false" ht="15" hidden="false" customHeight="false" outlineLevel="0" collapsed="false">
      <c r="A64" s="4" t="s">
        <v>156</v>
      </c>
      <c r="B64" s="4" t="s">
        <v>157</v>
      </c>
      <c r="C64" s="4" t="s">
        <v>158</v>
      </c>
      <c r="D64" s="4" t="s">
        <v>159</v>
      </c>
      <c r="E64" s="4" t="s">
        <v>160</v>
      </c>
      <c r="F64" s="4" t="s">
        <v>161</v>
      </c>
    </row>
    <row r="65" customFormat="false" ht="15" hidden="false" customHeight="false" outlineLevel="0" collapsed="false">
      <c r="A65" s="48" t="str">
        <f aca="false">Paramètres!L4</f>
        <v>Oui</v>
      </c>
      <c r="B65" s="38" t="n">
        <f aca="false">COUNTIFS(Journal!$AD$5:$AD$304,$A65,Journal!$AA$5:$AA$304,"&gt;=-100")</f>
        <v>0</v>
      </c>
      <c r="C65" s="49" t="str">
        <f aca="false">IF(B65=0,"",COUNTIFS(Journal!$AD$5:$AD$304,$A65,Journal!$AA$5:$AA$304,"&gt;0")/B65)</f>
        <v/>
      </c>
      <c r="D65" s="49" t="str">
        <f aca="false">IF(B65=0,"",(COUNTIFS(Journal!$AD$5:$AD$304,$A65,Journal!$Y$5:$Y$304,"TP2")+COUNTIFS(Journal!$AD$5:$AD$304,$A65,Journal!$Y$5:$Y$304,"TP1 + BE")+COUNTIFS(Journal!$AD$5:$AD$304,$A65,Journal!$Y$5:$Y$304,"TP1 (100 %)"))/B65)</f>
        <v/>
      </c>
      <c r="E65" s="43" t="str">
        <f aca="false">IF(B65=0,"",F65/B65)</f>
        <v/>
      </c>
      <c r="F65" s="43" t="n">
        <f aca="false">SUMIFS(Journal!$AA$5:$AA$304,Journal!$AD$5:$AD$304,$A65)</f>
        <v>0</v>
      </c>
    </row>
    <row r="66" customFormat="false" ht="15" hidden="false" customHeight="false" outlineLevel="0" collapsed="false">
      <c r="A66" s="48" t="str">
        <f aca="false">Paramètres!L5</f>
        <v>Non</v>
      </c>
      <c r="B66" s="38" t="n">
        <f aca="false">COUNTIFS(Journal!$AD$5:$AD$304,$A66,Journal!$AA$5:$AA$304,"&gt;=-100")</f>
        <v>0</v>
      </c>
      <c r="C66" s="49" t="str">
        <f aca="false">IF(B66=0,"",COUNTIFS(Journal!$AD$5:$AD$304,$A66,Journal!$AA$5:$AA$304,"&gt;0")/B66)</f>
        <v/>
      </c>
      <c r="D66" s="49" t="str">
        <f aca="false">IF(B66=0,"",(COUNTIFS(Journal!$AD$5:$AD$304,$A66,Journal!$Y$5:$Y$304,"TP2")+COUNTIFS(Journal!$AD$5:$AD$304,$A66,Journal!$Y$5:$Y$304,"TP1 + BE")+COUNTIFS(Journal!$AD$5:$AD$304,$A66,Journal!$Y$5:$Y$304,"TP1 (100 %)"))/B66)</f>
        <v/>
      </c>
      <c r="E66" s="43" t="str">
        <f aca="false">IF(B66=0,"",F66/B66)</f>
        <v/>
      </c>
      <c r="F66" s="43" t="n">
        <f aca="false">SUMIFS(Journal!$AA$5:$AA$304,Journal!$AD$5:$AD$304,$A66)</f>
        <v>0</v>
      </c>
    </row>
    <row r="68" customFormat="false" ht="15" hidden="false" customHeight="false" outlineLevel="0" collapsed="false">
      <c r="A68" s="47" t="s">
        <v>167</v>
      </c>
    </row>
    <row r="69" customFormat="false" ht="15" hidden="false" customHeight="false" outlineLevel="0" collapsed="false">
      <c r="A69" s="4" t="s">
        <v>156</v>
      </c>
      <c r="B69" s="4" t="s">
        <v>157</v>
      </c>
      <c r="C69" s="4" t="s">
        <v>158</v>
      </c>
      <c r="D69" s="4" t="s">
        <v>159</v>
      </c>
      <c r="E69" s="4" t="s">
        <v>160</v>
      </c>
      <c r="F69" s="4" t="s">
        <v>161</v>
      </c>
    </row>
    <row r="70" customFormat="false" ht="15" hidden="false" customHeight="false" outlineLevel="0" collapsed="false">
      <c r="A70" s="48" t="str">
        <f aca="false">Paramètres!O4</f>
        <v>Calme</v>
      </c>
      <c r="B70" s="38" t="n">
        <f aca="false">COUNTIFS(Journal!$AE$5:$AE$304,$A70,Journal!$AA$5:$AA$304,"&gt;=-100")</f>
        <v>0</v>
      </c>
      <c r="C70" s="49" t="str">
        <f aca="false">IF(B70=0,"",COUNTIFS(Journal!$AE$5:$AE$304,$A70,Journal!$AA$5:$AA$304,"&gt;0")/B70)</f>
        <v/>
      </c>
      <c r="D70" s="49" t="str">
        <f aca="false">IF(B70=0,"",(COUNTIFS(Journal!$AE$5:$AE$304,$A70,Journal!$Y$5:$Y$304,"TP2")+COUNTIFS(Journal!$AE$5:$AE$304,$A70,Journal!$Y$5:$Y$304,"TP1 + BE")+COUNTIFS(Journal!$AE$5:$AE$304,$A70,Journal!$Y$5:$Y$304,"TP1 (100 %)"))/B70)</f>
        <v/>
      </c>
      <c r="E70" s="43" t="str">
        <f aca="false">IF(B70=0,"",F70/B70)</f>
        <v/>
      </c>
      <c r="F70" s="43" t="n">
        <f aca="false">SUMIFS(Journal!$AA$5:$AA$304,Journal!$AE$5:$AE$304,$A70)</f>
        <v>0</v>
      </c>
    </row>
    <row r="71" customFormat="false" ht="15" hidden="false" customHeight="false" outlineLevel="0" collapsed="false">
      <c r="A71" s="48" t="str">
        <f aca="false">Paramètres!O5</f>
        <v>Confiant</v>
      </c>
      <c r="B71" s="38" t="n">
        <f aca="false">COUNTIFS(Journal!$AE$5:$AE$304,$A71,Journal!$AA$5:$AA$304,"&gt;=-100")</f>
        <v>0</v>
      </c>
      <c r="C71" s="49" t="str">
        <f aca="false">IF(B71=0,"",COUNTIFS(Journal!$AE$5:$AE$304,$A71,Journal!$AA$5:$AA$304,"&gt;0")/B71)</f>
        <v/>
      </c>
      <c r="D71" s="49" t="str">
        <f aca="false">IF(B71=0,"",(COUNTIFS(Journal!$AE$5:$AE$304,$A71,Journal!$Y$5:$Y$304,"TP2")+COUNTIFS(Journal!$AE$5:$AE$304,$A71,Journal!$Y$5:$Y$304,"TP1 + BE")+COUNTIFS(Journal!$AE$5:$AE$304,$A71,Journal!$Y$5:$Y$304,"TP1 (100 %)"))/B71)</f>
        <v/>
      </c>
      <c r="E71" s="43" t="str">
        <f aca="false">IF(B71=0,"",F71/B71)</f>
        <v/>
      </c>
      <c r="F71" s="43" t="n">
        <f aca="false">SUMIFS(Journal!$AA$5:$AA$304,Journal!$AE$5:$AE$304,$A71)</f>
        <v>0</v>
      </c>
    </row>
    <row r="72" customFormat="false" ht="15" hidden="false" customHeight="false" outlineLevel="0" collapsed="false">
      <c r="A72" s="48" t="str">
        <f aca="false">Paramètres!O6</f>
        <v>Impatient</v>
      </c>
      <c r="B72" s="38" t="n">
        <f aca="false">COUNTIFS(Journal!$AE$5:$AE$304,$A72,Journal!$AA$5:$AA$304,"&gt;=-100")</f>
        <v>0</v>
      </c>
      <c r="C72" s="49" t="str">
        <f aca="false">IF(B72=0,"",COUNTIFS(Journal!$AE$5:$AE$304,$A72,Journal!$AA$5:$AA$304,"&gt;0")/B72)</f>
        <v/>
      </c>
      <c r="D72" s="49" t="str">
        <f aca="false">IF(B72=0,"",(COUNTIFS(Journal!$AE$5:$AE$304,$A72,Journal!$Y$5:$Y$304,"TP2")+COUNTIFS(Journal!$AE$5:$AE$304,$A72,Journal!$Y$5:$Y$304,"TP1 + BE")+COUNTIFS(Journal!$AE$5:$AE$304,$A72,Journal!$Y$5:$Y$304,"TP1 (100 %)"))/B72)</f>
        <v/>
      </c>
      <c r="E72" s="43" t="str">
        <f aca="false">IF(B72=0,"",F72/B72)</f>
        <v/>
      </c>
      <c r="F72" s="43" t="n">
        <f aca="false">SUMIFS(Journal!$AA$5:$AA$304,Journal!$AE$5:$AE$304,$A72)</f>
        <v>0</v>
      </c>
    </row>
    <row r="73" customFormat="false" ht="15" hidden="false" customHeight="false" outlineLevel="0" collapsed="false">
      <c r="A73" s="48" t="str">
        <f aca="false">Paramètres!O7</f>
        <v>FOMO</v>
      </c>
      <c r="B73" s="38" t="n">
        <f aca="false">COUNTIFS(Journal!$AE$5:$AE$304,$A73,Journal!$AA$5:$AA$304,"&gt;=-100")</f>
        <v>0</v>
      </c>
      <c r="C73" s="49" t="str">
        <f aca="false">IF(B73=0,"",COUNTIFS(Journal!$AE$5:$AE$304,$A73,Journal!$AA$5:$AA$304,"&gt;0")/B73)</f>
        <v/>
      </c>
      <c r="D73" s="49" t="str">
        <f aca="false">IF(B73=0,"",(COUNTIFS(Journal!$AE$5:$AE$304,$A73,Journal!$Y$5:$Y$304,"TP2")+COUNTIFS(Journal!$AE$5:$AE$304,$A73,Journal!$Y$5:$Y$304,"TP1 + BE")+COUNTIFS(Journal!$AE$5:$AE$304,$A73,Journal!$Y$5:$Y$304,"TP1 (100 %)"))/B73)</f>
        <v/>
      </c>
      <c r="E73" s="43" t="str">
        <f aca="false">IF(B73=0,"",F73/B73)</f>
        <v/>
      </c>
      <c r="F73" s="43" t="n">
        <f aca="false">SUMIFS(Journal!$AA$5:$AA$304,Journal!$AE$5:$AE$304,$A73)</f>
        <v>0</v>
      </c>
    </row>
    <row r="74" customFormat="false" ht="15" hidden="false" customHeight="false" outlineLevel="0" collapsed="false">
      <c r="A74" s="48" t="str">
        <f aca="false">Paramètres!O8</f>
        <v>Peur</v>
      </c>
      <c r="B74" s="38" t="n">
        <f aca="false">COUNTIFS(Journal!$AE$5:$AE$304,$A74,Journal!$AA$5:$AA$304,"&gt;=-100")</f>
        <v>0</v>
      </c>
      <c r="C74" s="49" t="str">
        <f aca="false">IF(B74=0,"",COUNTIFS(Journal!$AE$5:$AE$304,$A74,Journal!$AA$5:$AA$304,"&gt;0")/B74)</f>
        <v/>
      </c>
      <c r="D74" s="49" t="str">
        <f aca="false">IF(B74=0,"",(COUNTIFS(Journal!$AE$5:$AE$304,$A74,Journal!$Y$5:$Y$304,"TP2")+COUNTIFS(Journal!$AE$5:$AE$304,$A74,Journal!$Y$5:$Y$304,"TP1 + BE")+COUNTIFS(Journal!$AE$5:$AE$304,$A74,Journal!$Y$5:$Y$304,"TP1 (100 %)"))/B74)</f>
        <v/>
      </c>
      <c r="E74" s="43" t="str">
        <f aca="false">IF(B74=0,"",F74/B74)</f>
        <v/>
      </c>
      <c r="F74" s="43" t="n">
        <f aca="false">SUMIFS(Journal!$AA$5:$AA$304,Journal!$AE$5:$AE$304,$A74)</f>
        <v>0</v>
      </c>
    </row>
    <row r="75" customFormat="false" ht="15" hidden="false" customHeight="false" outlineLevel="0" collapsed="false">
      <c r="A75" s="48" t="str">
        <f aca="false">Paramètres!O9</f>
        <v>Revanche</v>
      </c>
      <c r="B75" s="38" t="n">
        <f aca="false">COUNTIFS(Journal!$AE$5:$AE$304,$A75,Journal!$AA$5:$AA$304,"&gt;=-100")</f>
        <v>0</v>
      </c>
      <c r="C75" s="49" t="str">
        <f aca="false">IF(B75=0,"",COUNTIFS(Journal!$AE$5:$AE$304,$A75,Journal!$AA$5:$AA$304,"&gt;0")/B75)</f>
        <v/>
      </c>
      <c r="D75" s="49" t="str">
        <f aca="false">IF(B75=0,"",(COUNTIFS(Journal!$AE$5:$AE$304,$A75,Journal!$Y$5:$Y$304,"TP2")+COUNTIFS(Journal!$AE$5:$AE$304,$A75,Journal!$Y$5:$Y$304,"TP1 + BE")+COUNTIFS(Journal!$AE$5:$AE$304,$A75,Journal!$Y$5:$Y$304,"TP1 (100 %)"))/B75)</f>
        <v/>
      </c>
      <c r="E75" s="43" t="str">
        <f aca="false">IF(B75=0,"",F75/B75)</f>
        <v/>
      </c>
      <c r="F75" s="43" t="n">
        <f aca="false">SUMIFS(Journal!$AA$5:$AA$304,Journal!$AE$5:$AE$304,$A75)</f>
        <v>0</v>
      </c>
    </row>
    <row r="76" customFormat="false" ht="15" hidden="false" customHeight="false" outlineLevel="0" collapsed="false">
      <c r="A76" s="48" t="str">
        <f aca="false">Paramètres!O10</f>
        <v>Fatigué</v>
      </c>
      <c r="B76" s="38" t="n">
        <f aca="false">COUNTIFS(Journal!$AE$5:$AE$304,$A76,Journal!$AA$5:$AA$304,"&gt;=-100")</f>
        <v>0</v>
      </c>
      <c r="C76" s="49" t="str">
        <f aca="false">IF(B76=0,"",COUNTIFS(Journal!$AE$5:$AE$304,$A76,Journal!$AA$5:$AA$304,"&gt;0")/B76)</f>
        <v/>
      </c>
      <c r="D76" s="49" t="str">
        <f aca="false">IF(B76=0,"",(COUNTIFS(Journal!$AE$5:$AE$304,$A76,Journal!$Y$5:$Y$304,"TP2")+COUNTIFS(Journal!$AE$5:$AE$304,$A76,Journal!$Y$5:$Y$304,"TP1 + BE")+COUNTIFS(Journal!$AE$5:$AE$304,$A76,Journal!$Y$5:$Y$304,"TP1 (100 %)"))/B76)</f>
        <v/>
      </c>
      <c r="E76" s="43" t="str">
        <f aca="false">IF(B76=0,"",F76/B76)</f>
        <v/>
      </c>
      <c r="F76" s="43" t="n">
        <f aca="false">SUMIFS(Journal!$AA$5:$AA$304,Journal!$AE$5:$AE$304,$A76)</f>
        <v>0</v>
      </c>
    </row>
    <row r="78" customFormat="false" ht="15" hidden="false" customHeight="false" outlineLevel="0" collapsed="false">
      <c r="A78" s="47" t="s">
        <v>168</v>
      </c>
    </row>
    <row r="79" customFormat="false" ht="15" hidden="false" customHeight="false" outlineLevel="0" collapsed="false">
      <c r="A79" s="4" t="s">
        <v>156</v>
      </c>
      <c r="B79" s="4" t="s">
        <v>157</v>
      </c>
      <c r="C79" s="4" t="s">
        <v>158</v>
      </c>
      <c r="D79" s="4" t="s">
        <v>159</v>
      </c>
      <c r="E79" s="4" t="s">
        <v>160</v>
      </c>
      <c r="F79" s="4" t="s">
        <v>161</v>
      </c>
    </row>
    <row r="80" customFormat="false" ht="15" hidden="false" customHeight="false" outlineLevel="0" collapsed="false">
      <c r="A80" s="48" t="str">
        <f aca="false">Paramètres!P4</f>
        <v>Aucune</v>
      </c>
      <c r="B80" s="38" t="n">
        <f aca="false">COUNTIFS(Journal!$AF$5:$AF$304,$A80,Journal!$AA$5:$AA$304,"&gt;=-100")</f>
        <v>0</v>
      </c>
      <c r="C80" s="49" t="str">
        <f aca="false">IF(B80=0,"",COUNTIFS(Journal!$AF$5:$AF$304,$A80,Journal!$AA$5:$AA$304,"&gt;0")/B80)</f>
        <v/>
      </c>
      <c r="D80" s="49" t="str">
        <f aca="false">IF(B80=0,"",(COUNTIFS(Journal!$AF$5:$AF$304,$A80,Journal!$Y$5:$Y$304,"TP2")+COUNTIFS(Journal!$AF$5:$AF$304,$A80,Journal!$Y$5:$Y$304,"TP1 + BE")+COUNTIFS(Journal!$AF$5:$AF$304,$A80,Journal!$Y$5:$Y$304,"TP1 (100 %)"))/B80)</f>
        <v/>
      </c>
      <c r="E80" s="43" t="str">
        <f aca="false">IF(B80=0,"",F80/B80)</f>
        <v/>
      </c>
      <c r="F80" s="43" t="n">
        <f aca="false">SUMIFS(Journal!$AA$5:$AA$304,Journal!$AF$5:$AF$304,$A80)</f>
        <v>0</v>
      </c>
    </row>
    <row r="81" customFormat="false" ht="15" hidden="false" customHeight="false" outlineLevel="0" collapsed="false">
      <c r="A81" s="48" t="str">
        <f aca="false">Paramètres!P5</f>
        <v>Hors killzone</v>
      </c>
      <c r="B81" s="38" t="n">
        <f aca="false">COUNTIFS(Journal!$AF$5:$AF$304,$A81,Journal!$AA$5:$AA$304,"&gt;=-100")</f>
        <v>0</v>
      </c>
      <c r="C81" s="49" t="str">
        <f aca="false">IF(B81=0,"",COUNTIFS(Journal!$AF$5:$AF$304,$A81,Journal!$AA$5:$AA$304,"&gt;0")/B81)</f>
        <v/>
      </c>
      <c r="D81" s="49" t="str">
        <f aca="false">IF(B81=0,"",(COUNTIFS(Journal!$AF$5:$AF$304,$A81,Journal!$Y$5:$Y$304,"TP2")+COUNTIFS(Journal!$AF$5:$AF$304,$A81,Journal!$Y$5:$Y$304,"TP1 + BE")+COUNTIFS(Journal!$AF$5:$AF$304,$A81,Journal!$Y$5:$Y$304,"TP1 (100 %)"))/B81)</f>
        <v/>
      </c>
      <c r="E81" s="43" t="str">
        <f aca="false">IF(B81=0,"",F81/B81)</f>
        <v/>
      </c>
      <c r="F81" s="43" t="n">
        <f aca="false">SUMIFS(Journal!$AA$5:$AA$304,Journal!$AF$5:$AF$304,$A81)</f>
        <v>0</v>
      </c>
    </row>
    <row r="82" customFormat="false" ht="15" hidden="false" customHeight="false" outlineLevel="0" collapsed="false">
      <c r="A82" s="48" t="str">
        <f aca="false">Paramètres!P6</f>
        <v>Sans sweep</v>
      </c>
      <c r="B82" s="38" t="n">
        <f aca="false">COUNTIFS(Journal!$AF$5:$AF$304,$A82,Journal!$AA$5:$AA$304,"&gt;=-100")</f>
        <v>0</v>
      </c>
      <c r="C82" s="49" t="str">
        <f aca="false">IF(B82=0,"",COUNTIFS(Journal!$AF$5:$AF$304,$A82,Journal!$AA$5:$AA$304,"&gt;0")/B82)</f>
        <v/>
      </c>
      <c r="D82" s="49" t="str">
        <f aca="false">IF(B82=0,"",(COUNTIFS(Journal!$AF$5:$AF$304,$A82,Journal!$Y$5:$Y$304,"TP2")+COUNTIFS(Journal!$AF$5:$AF$304,$A82,Journal!$Y$5:$Y$304,"TP1 + BE")+COUNTIFS(Journal!$AF$5:$AF$304,$A82,Journal!$Y$5:$Y$304,"TP1 (100 %)"))/B82)</f>
        <v/>
      </c>
      <c r="E82" s="43" t="str">
        <f aca="false">IF(B82=0,"",F82/B82)</f>
        <v/>
      </c>
      <c r="F82" s="43" t="n">
        <f aca="false">SUMIFS(Journal!$AA$5:$AA$304,Journal!$AF$5:$AF$304,$A82)</f>
        <v>0</v>
      </c>
    </row>
    <row r="83" customFormat="false" ht="15" hidden="false" customHeight="false" outlineLevel="0" collapsed="false">
      <c r="A83" s="48" t="str">
        <f aca="false">Paramètres!P7</f>
        <v>Contre le biais</v>
      </c>
      <c r="B83" s="38" t="n">
        <f aca="false">COUNTIFS(Journal!$AF$5:$AF$304,$A83,Journal!$AA$5:$AA$304,"&gt;=-100")</f>
        <v>0</v>
      </c>
      <c r="C83" s="49" t="str">
        <f aca="false">IF(B83=0,"",COUNTIFS(Journal!$AF$5:$AF$304,$A83,Journal!$AA$5:$AA$304,"&gt;0")/B83)</f>
        <v/>
      </c>
      <c r="D83" s="49" t="str">
        <f aca="false">IF(B83=0,"",(COUNTIFS(Journal!$AF$5:$AF$304,$A83,Journal!$Y$5:$Y$304,"TP2")+COUNTIFS(Journal!$AF$5:$AF$304,$A83,Journal!$Y$5:$Y$304,"TP1 + BE")+COUNTIFS(Journal!$AF$5:$AF$304,$A83,Journal!$Y$5:$Y$304,"TP1 (100 %)"))/B83)</f>
        <v/>
      </c>
      <c r="E83" s="43" t="str">
        <f aca="false">IF(B83=0,"",F83/B83)</f>
        <v/>
      </c>
      <c r="F83" s="43" t="n">
        <f aca="false">SUMIFS(Journal!$AA$5:$AA$304,Journal!$AF$5:$AF$304,$A83)</f>
        <v>0</v>
      </c>
    </row>
    <row r="84" customFormat="false" ht="15" hidden="false" customHeight="false" outlineLevel="0" collapsed="false">
      <c r="A84" s="48" t="str">
        <f aca="false">Paramètres!P8</f>
        <v>Annonce ignorée</v>
      </c>
      <c r="B84" s="38" t="n">
        <f aca="false">COUNTIFS(Journal!$AF$5:$AF$304,$A84,Journal!$AA$5:$AA$304,"&gt;=-100")</f>
        <v>0</v>
      </c>
      <c r="C84" s="49" t="str">
        <f aca="false">IF(B84=0,"",COUNTIFS(Journal!$AF$5:$AF$304,$A84,Journal!$AA$5:$AA$304,"&gt;0")/B84)</f>
        <v/>
      </c>
      <c r="D84" s="49" t="str">
        <f aca="false">IF(B84=0,"",(COUNTIFS(Journal!$AF$5:$AF$304,$A84,Journal!$Y$5:$Y$304,"TP2")+COUNTIFS(Journal!$AF$5:$AF$304,$A84,Journal!$Y$5:$Y$304,"TP1 + BE")+COUNTIFS(Journal!$AF$5:$AF$304,$A84,Journal!$Y$5:$Y$304,"TP1 (100 %)"))/B84)</f>
        <v/>
      </c>
      <c r="E84" s="43" t="str">
        <f aca="false">IF(B84=0,"",F84/B84)</f>
        <v/>
      </c>
      <c r="F84" s="43" t="n">
        <f aca="false">SUMIFS(Journal!$AA$5:$AA$304,Journal!$AF$5:$AF$304,$A84)</f>
        <v>0</v>
      </c>
    </row>
    <row r="85" customFormat="false" ht="15" hidden="false" customHeight="false" outlineLevel="0" collapsed="false">
      <c r="A85" s="48" t="str">
        <f aca="false">Paramètres!P9</f>
        <v>Entrée anticipée</v>
      </c>
      <c r="B85" s="38" t="n">
        <f aca="false">COUNTIFS(Journal!$AF$5:$AF$304,$A85,Journal!$AA$5:$AA$304,"&gt;=-100")</f>
        <v>0</v>
      </c>
      <c r="C85" s="49" t="str">
        <f aca="false">IF(B85=0,"",COUNTIFS(Journal!$AF$5:$AF$304,$A85,Journal!$AA$5:$AA$304,"&gt;0")/B85)</f>
        <v/>
      </c>
      <c r="D85" s="49" t="str">
        <f aca="false">IF(B85=0,"",(COUNTIFS(Journal!$AF$5:$AF$304,$A85,Journal!$Y$5:$Y$304,"TP2")+COUNTIFS(Journal!$AF$5:$AF$304,$A85,Journal!$Y$5:$Y$304,"TP1 + BE")+COUNTIFS(Journal!$AF$5:$AF$304,$A85,Journal!$Y$5:$Y$304,"TP1 (100 %)"))/B85)</f>
        <v/>
      </c>
      <c r="E85" s="43" t="str">
        <f aca="false">IF(B85=0,"",F85/B85)</f>
        <v/>
      </c>
      <c r="F85" s="43" t="n">
        <f aca="false">SUMIFS(Journal!$AA$5:$AA$304,Journal!$AF$5:$AF$304,$A85)</f>
        <v>0</v>
      </c>
    </row>
    <row r="86" customFormat="false" ht="15" hidden="false" customHeight="false" outlineLevel="0" collapsed="false">
      <c r="A86" s="48" t="str">
        <f aca="false">Paramètres!P10</f>
        <v>Stop déplacé</v>
      </c>
      <c r="B86" s="38" t="n">
        <f aca="false">COUNTIFS(Journal!$AF$5:$AF$304,$A86,Journal!$AA$5:$AA$304,"&gt;=-100")</f>
        <v>0</v>
      </c>
      <c r="C86" s="49" t="str">
        <f aca="false">IF(B86=0,"",COUNTIFS(Journal!$AF$5:$AF$304,$A86,Journal!$AA$5:$AA$304,"&gt;0")/B86)</f>
        <v/>
      </c>
      <c r="D86" s="49" t="str">
        <f aca="false">IF(B86=0,"",(COUNTIFS(Journal!$AF$5:$AF$304,$A86,Journal!$Y$5:$Y$304,"TP2")+COUNTIFS(Journal!$AF$5:$AF$304,$A86,Journal!$Y$5:$Y$304,"TP1 + BE")+COUNTIFS(Journal!$AF$5:$AF$304,$A86,Journal!$Y$5:$Y$304,"TP1 (100 %)"))/B86)</f>
        <v/>
      </c>
      <c r="E86" s="43" t="str">
        <f aca="false">IF(B86=0,"",F86/B86)</f>
        <v/>
      </c>
      <c r="F86" s="43" t="n">
        <f aca="false">SUMIFS(Journal!$AA$5:$AA$304,Journal!$AF$5:$AF$304,$A86)</f>
        <v>0</v>
      </c>
    </row>
    <row r="87" customFormat="false" ht="15" hidden="false" customHeight="false" outlineLevel="0" collapsed="false">
      <c r="A87" s="48" t="str">
        <f aca="false">Paramètres!P11</f>
        <v>Sortie trop tôt</v>
      </c>
      <c r="B87" s="38" t="n">
        <f aca="false">COUNTIFS(Journal!$AF$5:$AF$304,$A87,Journal!$AA$5:$AA$304,"&gt;=-100")</f>
        <v>0</v>
      </c>
      <c r="C87" s="49" t="str">
        <f aca="false">IF(B87=0,"",COUNTIFS(Journal!$AF$5:$AF$304,$A87,Journal!$AA$5:$AA$304,"&gt;0")/B87)</f>
        <v/>
      </c>
      <c r="D87" s="49" t="str">
        <f aca="false">IF(B87=0,"",(COUNTIFS(Journal!$AF$5:$AF$304,$A87,Journal!$Y$5:$Y$304,"TP2")+COUNTIFS(Journal!$AF$5:$AF$304,$A87,Journal!$Y$5:$Y$304,"TP1 + BE")+COUNTIFS(Journal!$AF$5:$AF$304,$A87,Journal!$Y$5:$Y$304,"TP1 (100 %)"))/B87)</f>
        <v/>
      </c>
      <c r="E87" s="43" t="str">
        <f aca="false">IF(B87=0,"",F87/B87)</f>
        <v/>
      </c>
      <c r="F87" s="43" t="n">
        <f aca="false">SUMIFS(Journal!$AA$5:$AA$304,Journal!$AF$5:$AF$304,$A87)</f>
        <v>0</v>
      </c>
    </row>
    <row r="88" customFormat="false" ht="15" hidden="false" customHeight="false" outlineLevel="0" collapsed="false">
      <c r="A88" s="48" t="str">
        <f aca="false">Paramètres!P12</f>
        <v>Sur-risque</v>
      </c>
      <c r="B88" s="38" t="n">
        <f aca="false">COUNTIFS(Journal!$AF$5:$AF$304,$A88,Journal!$AA$5:$AA$304,"&gt;=-100")</f>
        <v>0</v>
      </c>
      <c r="C88" s="49" t="str">
        <f aca="false">IF(B88=0,"",COUNTIFS(Journal!$AF$5:$AF$304,$A88,Journal!$AA$5:$AA$304,"&gt;0")/B88)</f>
        <v/>
      </c>
      <c r="D88" s="49" t="str">
        <f aca="false">IF(B88=0,"",(COUNTIFS(Journal!$AF$5:$AF$304,$A88,Journal!$Y$5:$Y$304,"TP2")+COUNTIFS(Journal!$AF$5:$AF$304,$A88,Journal!$Y$5:$Y$304,"TP1 + BE")+COUNTIFS(Journal!$AF$5:$AF$304,$A88,Journal!$Y$5:$Y$304,"TP1 (100 %)"))/B88)</f>
        <v/>
      </c>
      <c r="E88" s="43" t="str">
        <f aca="false">IF(B88=0,"",F88/B88)</f>
        <v/>
      </c>
      <c r="F88" s="43" t="n">
        <f aca="false">SUMIFS(Journal!$AA$5:$AA$304,Journal!$AF$5:$AF$304,$A88)</f>
        <v>0</v>
      </c>
    </row>
    <row r="89" customFormat="false" ht="15" hidden="false" customHeight="false" outlineLevel="0" collapsed="false">
      <c r="A89" s="48" t="str">
        <f aca="false">Paramètres!P13</f>
        <v>Revenge trading</v>
      </c>
      <c r="B89" s="38" t="n">
        <f aca="false">COUNTIFS(Journal!$AF$5:$AF$304,$A89,Journal!$AA$5:$AA$304,"&gt;=-100")</f>
        <v>0</v>
      </c>
      <c r="C89" s="49" t="str">
        <f aca="false">IF(B89=0,"",COUNTIFS(Journal!$AF$5:$AF$304,$A89,Journal!$AA$5:$AA$304,"&gt;0")/B89)</f>
        <v/>
      </c>
      <c r="D89" s="49" t="str">
        <f aca="false">IF(B89=0,"",(COUNTIFS(Journal!$AF$5:$AF$304,$A89,Journal!$Y$5:$Y$304,"TP2")+COUNTIFS(Journal!$AF$5:$AF$304,$A89,Journal!$Y$5:$Y$304,"TP1 + BE")+COUNTIFS(Journal!$AF$5:$AF$304,$A89,Journal!$Y$5:$Y$304,"TP1 (100 %)"))/B89)</f>
        <v/>
      </c>
      <c r="E89" s="43" t="str">
        <f aca="false">IF(B89=0,"",F89/B89)</f>
        <v/>
      </c>
      <c r="F89" s="43" t="n">
        <f aca="false">SUMIFS(Journal!$AA$5:$AA$304,Journal!$AF$5:$AF$304,$A89)</f>
        <v>0</v>
      </c>
    </row>
    <row r="91" customFormat="false" ht="15" hidden="false" customHeight="false" outlineLevel="0" collapsed="false">
      <c r="A91" s="47" t="s">
        <v>169</v>
      </c>
    </row>
    <row r="92" customFormat="false" ht="15" hidden="false" customHeight="false" outlineLevel="0" collapsed="false">
      <c r="A92" s="4" t="s">
        <v>156</v>
      </c>
      <c r="B92" s="4" t="s">
        <v>157</v>
      </c>
      <c r="C92" s="4" t="s">
        <v>158</v>
      </c>
      <c r="D92" s="4" t="s">
        <v>159</v>
      </c>
      <c r="E92" s="4" t="s">
        <v>160</v>
      </c>
      <c r="F92" s="4" t="s">
        <v>161</v>
      </c>
    </row>
    <row r="93" customFormat="false" ht="15" hidden="false" customHeight="false" outlineLevel="0" collapsed="false">
      <c r="A93" s="48" t="str">
        <f aca="false">Paramètres!R4</f>
        <v>Lundi</v>
      </c>
      <c r="B93" s="38" t="n">
        <f aca="false">COUNTIFS(Journal!$C$5:$C$304,$A93,Journal!$AA$5:$AA$304,"&gt;=-100")</f>
        <v>0</v>
      </c>
      <c r="C93" s="49" t="str">
        <f aca="false">IF(B93=0,"",COUNTIFS(Journal!$C$5:$C$304,$A93,Journal!$AA$5:$AA$304,"&gt;0")/B93)</f>
        <v/>
      </c>
      <c r="D93" s="49" t="str">
        <f aca="false">IF(B93=0,"",(COUNTIFS(Journal!$C$5:$C$304,$A93,Journal!$Y$5:$Y$304,"TP2")+COUNTIFS(Journal!$C$5:$C$304,$A93,Journal!$Y$5:$Y$304,"TP1 + BE")+COUNTIFS(Journal!$C$5:$C$304,$A93,Journal!$Y$5:$Y$304,"TP1 (100 %)"))/B93)</f>
        <v/>
      </c>
      <c r="E93" s="43" t="str">
        <f aca="false">IF(B93=0,"",F93/B93)</f>
        <v/>
      </c>
      <c r="F93" s="43" t="n">
        <f aca="false">SUMIFS(Journal!$AA$5:$AA$304,Journal!$C$5:$C$304,$A93)</f>
        <v>0</v>
      </c>
    </row>
    <row r="94" customFormat="false" ht="15" hidden="false" customHeight="false" outlineLevel="0" collapsed="false">
      <c r="A94" s="48" t="str">
        <f aca="false">Paramètres!R5</f>
        <v>Mardi</v>
      </c>
      <c r="B94" s="38" t="n">
        <f aca="false">COUNTIFS(Journal!$C$5:$C$304,$A94,Journal!$AA$5:$AA$304,"&gt;=-100")</f>
        <v>0</v>
      </c>
      <c r="C94" s="49" t="str">
        <f aca="false">IF(B94=0,"",COUNTIFS(Journal!$C$5:$C$304,$A94,Journal!$AA$5:$AA$304,"&gt;0")/B94)</f>
        <v/>
      </c>
      <c r="D94" s="49" t="str">
        <f aca="false">IF(B94=0,"",(COUNTIFS(Journal!$C$5:$C$304,$A94,Journal!$Y$5:$Y$304,"TP2")+COUNTIFS(Journal!$C$5:$C$304,$A94,Journal!$Y$5:$Y$304,"TP1 + BE")+COUNTIFS(Journal!$C$5:$C$304,$A94,Journal!$Y$5:$Y$304,"TP1 (100 %)"))/B94)</f>
        <v/>
      </c>
      <c r="E94" s="43" t="str">
        <f aca="false">IF(B94=0,"",F94/B94)</f>
        <v/>
      </c>
      <c r="F94" s="43" t="n">
        <f aca="false">SUMIFS(Journal!$AA$5:$AA$304,Journal!$C$5:$C$304,$A94)</f>
        <v>0</v>
      </c>
    </row>
    <row r="95" customFormat="false" ht="15" hidden="false" customHeight="false" outlineLevel="0" collapsed="false">
      <c r="A95" s="48" t="str">
        <f aca="false">Paramètres!R6</f>
        <v>Mercredi</v>
      </c>
      <c r="B95" s="38" t="n">
        <f aca="false">COUNTIFS(Journal!$C$5:$C$304,$A95,Journal!$AA$5:$AA$304,"&gt;=-100")</f>
        <v>0</v>
      </c>
      <c r="C95" s="49" t="str">
        <f aca="false">IF(B95=0,"",COUNTIFS(Journal!$C$5:$C$304,$A95,Journal!$AA$5:$AA$304,"&gt;0")/B95)</f>
        <v/>
      </c>
      <c r="D95" s="49" t="str">
        <f aca="false">IF(B95=0,"",(COUNTIFS(Journal!$C$5:$C$304,$A95,Journal!$Y$5:$Y$304,"TP2")+COUNTIFS(Journal!$C$5:$C$304,$A95,Journal!$Y$5:$Y$304,"TP1 + BE")+COUNTIFS(Journal!$C$5:$C$304,$A95,Journal!$Y$5:$Y$304,"TP1 (100 %)"))/B95)</f>
        <v/>
      </c>
      <c r="E95" s="43" t="str">
        <f aca="false">IF(B95=0,"",F95/B95)</f>
        <v/>
      </c>
      <c r="F95" s="43" t="n">
        <f aca="false">SUMIFS(Journal!$AA$5:$AA$304,Journal!$C$5:$C$304,$A95)</f>
        <v>0</v>
      </c>
    </row>
    <row r="96" customFormat="false" ht="15" hidden="false" customHeight="false" outlineLevel="0" collapsed="false">
      <c r="A96" s="48" t="str">
        <f aca="false">Paramètres!R7</f>
        <v>Jeudi</v>
      </c>
      <c r="B96" s="38" t="n">
        <f aca="false">COUNTIFS(Journal!$C$5:$C$304,$A96,Journal!$AA$5:$AA$304,"&gt;=-100")</f>
        <v>0</v>
      </c>
      <c r="C96" s="49" t="str">
        <f aca="false">IF(B96=0,"",COUNTIFS(Journal!$C$5:$C$304,$A96,Journal!$AA$5:$AA$304,"&gt;0")/B96)</f>
        <v/>
      </c>
      <c r="D96" s="49" t="str">
        <f aca="false">IF(B96=0,"",(COUNTIFS(Journal!$C$5:$C$304,$A96,Journal!$Y$5:$Y$304,"TP2")+COUNTIFS(Journal!$C$5:$C$304,$A96,Journal!$Y$5:$Y$304,"TP1 + BE")+COUNTIFS(Journal!$C$5:$C$304,$A96,Journal!$Y$5:$Y$304,"TP1 (100 %)"))/B96)</f>
        <v/>
      </c>
      <c r="E96" s="43" t="str">
        <f aca="false">IF(B96=0,"",F96/B96)</f>
        <v/>
      </c>
      <c r="F96" s="43" t="n">
        <f aca="false">SUMIFS(Journal!$AA$5:$AA$304,Journal!$C$5:$C$304,$A96)</f>
        <v>0</v>
      </c>
    </row>
    <row r="97" customFormat="false" ht="15" hidden="false" customHeight="false" outlineLevel="0" collapsed="false">
      <c r="A97" s="48" t="str">
        <f aca="false">Paramètres!R8</f>
        <v>Vendredi</v>
      </c>
      <c r="B97" s="38" t="n">
        <f aca="false">COUNTIFS(Journal!$C$5:$C$304,$A97,Journal!$AA$5:$AA$304,"&gt;=-100")</f>
        <v>0</v>
      </c>
      <c r="C97" s="49" t="str">
        <f aca="false">IF(B97=0,"",COUNTIFS(Journal!$C$5:$C$304,$A97,Journal!$AA$5:$AA$304,"&gt;0")/B97)</f>
        <v/>
      </c>
      <c r="D97" s="49" t="str">
        <f aca="false">IF(B97=0,"",(COUNTIFS(Journal!$C$5:$C$304,$A97,Journal!$Y$5:$Y$304,"TP2")+COUNTIFS(Journal!$C$5:$C$304,$A97,Journal!$Y$5:$Y$304,"TP1 + BE")+COUNTIFS(Journal!$C$5:$C$304,$A97,Journal!$Y$5:$Y$304,"TP1 (100 %)"))/B97)</f>
        <v/>
      </c>
      <c r="E97" s="43" t="str">
        <f aca="false">IF(B97=0,"",F97/B97)</f>
        <v/>
      </c>
      <c r="F97" s="43" t="n">
        <f aca="false">SUMIFS(Journal!$AA$5:$AA$304,Journal!$C$5:$C$304,$A97)</f>
        <v>0</v>
      </c>
    </row>
  </sheetData>
  <conditionalFormatting sqref="D5:D19">
    <cfRule type="expression" priority="2" aboveAverage="0" equalAverage="0" bottom="0" percent="0" rank="0" text="" dxfId="0">
      <formula>LEFT(D5,1)="✔"</formula>
    </cfRule>
    <cfRule type="expression" priority="3" aboveAverage="0" equalAverage="0" bottom="0" percent="0" rank="0" text="" dxfId="1">
      <formula>LEFT(D5,1)="✘"</formula>
    </cfRule>
  </conditionalFormatting>
  <conditionalFormatting sqref="E25:E27">
    <cfRule type="expression" priority="4" aboveAverage="0" equalAverage="0" bottom="0" percent="0" rank="0" text="" dxfId="0">
      <formula>AND(ISNUMBER(E25),E25&gt;0)</formula>
    </cfRule>
    <cfRule type="expression" priority="5" aboveAverage="0" equalAverage="0" bottom="0" percent="0" rank="0" text="" dxfId="1">
      <formula>AND(ISNUMBER(E25),E25&lt;0)</formula>
    </cfRule>
  </conditionalFormatting>
  <conditionalFormatting sqref="E31:E34">
    <cfRule type="expression" priority="6" aboveAverage="0" equalAverage="0" bottom="0" percent="0" rank="0" text="" dxfId="0">
      <formula>AND(ISNUMBER(E31),E31&gt;0)</formula>
    </cfRule>
    <cfRule type="expression" priority="7" aboveAverage="0" equalAverage="0" bottom="0" percent="0" rank="0" text="" dxfId="1">
      <formula>AND(ISNUMBER(E31),E31&lt;0)</formula>
    </cfRule>
  </conditionalFormatting>
  <conditionalFormatting sqref="E38:E44">
    <cfRule type="expression" priority="8" aboveAverage="0" equalAverage="0" bottom="0" percent="0" rank="0" text="" dxfId="0">
      <formula>AND(ISNUMBER(E38),E38&gt;0)</formula>
    </cfRule>
    <cfRule type="expression" priority="9" aboveAverage="0" equalAverage="0" bottom="0" percent="0" rank="0" text="" dxfId="1">
      <formula>AND(ISNUMBER(E38),E38&lt;0)</formula>
    </cfRule>
  </conditionalFormatting>
  <conditionalFormatting sqref="E48:E56">
    <cfRule type="expression" priority="10" aboveAverage="0" equalAverage="0" bottom="0" percent="0" rank="0" text="" dxfId="0">
      <formula>AND(ISNUMBER(E48),E48&gt;0)</formula>
    </cfRule>
    <cfRule type="expression" priority="11" aboveAverage="0" equalAverage="0" bottom="0" percent="0" rank="0" text="" dxfId="1">
      <formula>AND(ISNUMBER(E48),E48&lt;0)</formula>
    </cfRule>
  </conditionalFormatting>
  <conditionalFormatting sqref="E60:E61">
    <cfRule type="expression" priority="12" aboveAverage="0" equalAverage="0" bottom="0" percent="0" rank="0" text="" dxfId="0">
      <formula>AND(ISNUMBER(E60),E60&gt;0)</formula>
    </cfRule>
    <cfRule type="expression" priority="13" aboveAverage="0" equalAverage="0" bottom="0" percent="0" rank="0" text="" dxfId="1">
      <formula>AND(ISNUMBER(E60),E60&lt;0)</formula>
    </cfRule>
  </conditionalFormatting>
  <conditionalFormatting sqref="E65:E66">
    <cfRule type="expression" priority="14" aboveAverage="0" equalAverage="0" bottom="0" percent="0" rank="0" text="" dxfId="0">
      <formula>AND(ISNUMBER(E65),E65&gt;0)</formula>
    </cfRule>
    <cfRule type="expression" priority="15" aboveAverage="0" equalAverage="0" bottom="0" percent="0" rank="0" text="" dxfId="1">
      <formula>AND(ISNUMBER(E65),E65&lt;0)</formula>
    </cfRule>
  </conditionalFormatting>
  <conditionalFormatting sqref="E70:E76">
    <cfRule type="expression" priority="16" aboveAverage="0" equalAverage="0" bottom="0" percent="0" rank="0" text="" dxfId="0">
      <formula>AND(ISNUMBER(E70),E70&gt;0)</formula>
    </cfRule>
    <cfRule type="expression" priority="17" aboveAverage="0" equalAverage="0" bottom="0" percent="0" rank="0" text="" dxfId="1">
      <formula>AND(ISNUMBER(E70),E70&lt;0)</formula>
    </cfRule>
  </conditionalFormatting>
  <conditionalFormatting sqref="E80:E89">
    <cfRule type="expression" priority="18" aboveAverage="0" equalAverage="0" bottom="0" percent="0" rank="0" text="" dxfId="0">
      <formula>AND(ISNUMBER(E80),E80&gt;0)</formula>
    </cfRule>
    <cfRule type="expression" priority="19" aboveAverage="0" equalAverage="0" bottom="0" percent="0" rank="0" text="" dxfId="1">
      <formula>AND(ISNUMBER(E80),E80&lt;0)</formula>
    </cfRule>
  </conditionalFormatting>
  <conditionalFormatting sqref="E93:E97">
    <cfRule type="expression" priority="20" aboveAverage="0" equalAverage="0" bottom="0" percent="0" rank="0" text="" dxfId="0">
      <formula>AND(ISNUMBER(E93),E93&gt;0)</formula>
    </cfRule>
    <cfRule type="expression" priority="21" aboveAverage="0" equalAverage="0" bottom="0" percent="0" rank="0" text="" dxfId="1">
      <formula>AND(ISNUMBER(E93),E93&lt;0)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4" min="3" style="0" width="9"/>
    <col collapsed="false" customWidth="true" hidden="false" outlineLevel="0" max="6" min="5" style="0" width="8"/>
    <col collapsed="false" customWidth="true" hidden="false" outlineLevel="0" max="8" min="7" style="0" width="10"/>
    <col collapsed="false" customWidth="true" hidden="false" outlineLevel="0" max="9" min="9" style="0" width="20"/>
    <col collapsed="false" customWidth="true" hidden="false" outlineLevel="0" max="12" min="10" style="0" width="30"/>
  </cols>
  <sheetData>
    <row r="1" customFormat="false" ht="19.7" hidden="false" customHeight="false" outlineLevel="0" collapsed="false">
      <c r="A1" s="1" t="s">
        <v>170</v>
      </c>
    </row>
    <row r="2" customFormat="false" ht="15" hidden="false" customHeight="false" outlineLevel="0" collapsed="false">
      <c r="A2" s="6" t="s">
        <v>171</v>
      </c>
    </row>
    <row r="4" customFormat="false" ht="31.5" hidden="false" customHeight="true" outlineLevel="0" collapsed="false">
      <c r="A4" s="50" t="s">
        <v>132</v>
      </c>
      <c r="B4" s="50" t="s">
        <v>157</v>
      </c>
      <c r="C4" s="50" t="s">
        <v>172</v>
      </c>
      <c r="D4" s="50" t="s">
        <v>159</v>
      </c>
      <c r="E4" s="50" t="s">
        <v>173</v>
      </c>
      <c r="F4" s="50" t="s">
        <v>128</v>
      </c>
      <c r="G4" s="50" t="s">
        <v>124</v>
      </c>
      <c r="H4" s="4" t="s">
        <v>174</v>
      </c>
      <c r="I4" s="4" t="s">
        <v>175</v>
      </c>
      <c r="J4" s="4" t="s">
        <v>176</v>
      </c>
      <c r="K4" s="4" t="s">
        <v>177</v>
      </c>
      <c r="L4" s="4" t="s">
        <v>178</v>
      </c>
    </row>
    <row r="5" customFormat="false" ht="15" hidden="false" customHeight="false" outlineLevel="0" collapsed="false">
      <c r="A5" s="51" t="n">
        <f aca="false">Paramètres!$B$12+7*0</f>
        <v>46293</v>
      </c>
      <c r="B5" s="38" t="n">
        <f aca="false">COUNTIFS(Journal!$AM$5:$AM$304,$A5,Journal!$AA$5:$AA$304,"&gt;=-100")</f>
        <v>0</v>
      </c>
      <c r="C5" s="49" t="str">
        <f aca="false">IF(B5=0,"",COUNTIFS(Journal!$AM$5:$AM$304,$A5,Journal!$AA$5:$AA$304,"&gt;0")/B5)</f>
        <v/>
      </c>
      <c r="D5" s="49" t="str">
        <f aca="false">IF(B5=0,"",(COUNTIFS(Journal!$AM$5:$AM$304,$A5,Journal!$Y$5:$Y$304,"TP2")+COUNTIFS(Journal!$AM$5:$AM$304,$A5,Journal!$Y$5:$Y$304,"TP1 + BE")+COUNTIFS(Journal!$AM$5:$AM$304,$A5,Journal!$Y$5:$Y$304,"TP1 (100 %)"))/B5)</f>
        <v/>
      </c>
      <c r="E5" s="43" t="n">
        <f aca="false">SUMIFS(Journal!$AA$5:$AA$304,Journal!$AM$5:$AM$304,$A5)</f>
        <v>0</v>
      </c>
      <c r="F5" s="43" t="n">
        <f aca="false">SUM($E$5:E5)</f>
        <v>0</v>
      </c>
      <c r="G5" s="49" t="str">
        <f aca="false">IF(COUNTIFS(Journal!$AM$5:$AM$304,$A5,Journal!$AD$5:$AD$304,"Oui")+COUNTIFS(Journal!$AM$5:$AM$304,$A5,Journal!$AD$5:$AD$304,"Non")=0,"",COUNTIFS(Journal!$AM$5:$AM$304,$A5,Journal!$AD$5:$AD$304,"Oui")/(COUNTIFS(Journal!$AM$5:$AM$304,$A5,Journal!$AD$5:$AD$304,"Oui")+COUNTIFS(Journal!$AM$5:$AM$304,$A5,Journal!$AD$5:$AD$304,"Non")))</f>
        <v/>
      </c>
      <c r="H5" s="52"/>
      <c r="I5" s="36"/>
      <c r="J5" s="36"/>
      <c r="K5" s="36"/>
      <c r="L5" s="36"/>
    </row>
    <row r="6" customFormat="false" ht="15" hidden="false" customHeight="false" outlineLevel="0" collapsed="false">
      <c r="A6" s="51" t="n">
        <f aca="false">Paramètres!$B$12+7*1</f>
        <v>46300</v>
      </c>
      <c r="B6" s="38" t="n">
        <f aca="false">COUNTIFS(Journal!$AM$5:$AM$304,$A6,Journal!$AA$5:$AA$304,"&gt;=-100")</f>
        <v>0</v>
      </c>
      <c r="C6" s="49" t="str">
        <f aca="false">IF(B6=0,"",COUNTIFS(Journal!$AM$5:$AM$304,$A6,Journal!$AA$5:$AA$304,"&gt;0")/B6)</f>
        <v/>
      </c>
      <c r="D6" s="49" t="str">
        <f aca="false">IF(B6=0,"",(COUNTIFS(Journal!$AM$5:$AM$304,$A6,Journal!$Y$5:$Y$304,"TP2")+COUNTIFS(Journal!$AM$5:$AM$304,$A6,Journal!$Y$5:$Y$304,"TP1 + BE")+COUNTIFS(Journal!$AM$5:$AM$304,$A6,Journal!$Y$5:$Y$304,"TP1 (100 %)"))/B6)</f>
        <v/>
      </c>
      <c r="E6" s="43" t="n">
        <f aca="false">SUMIFS(Journal!$AA$5:$AA$304,Journal!$AM$5:$AM$304,$A6)</f>
        <v>0</v>
      </c>
      <c r="F6" s="43" t="n">
        <f aca="false">SUM($E$5:E6)</f>
        <v>0</v>
      </c>
      <c r="G6" s="49" t="str">
        <f aca="false">IF(COUNTIFS(Journal!$AM$5:$AM$304,$A6,Journal!$AD$5:$AD$304,"Oui")+COUNTIFS(Journal!$AM$5:$AM$304,$A6,Journal!$AD$5:$AD$304,"Non")=0,"",COUNTIFS(Journal!$AM$5:$AM$304,$A6,Journal!$AD$5:$AD$304,"Oui")/(COUNTIFS(Journal!$AM$5:$AM$304,$A6,Journal!$AD$5:$AD$304,"Oui")+COUNTIFS(Journal!$AM$5:$AM$304,$A6,Journal!$AD$5:$AD$304,"Non")))</f>
        <v/>
      </c>
      <c r="H6" s="52"/>
      <c r="I6" s="36"/>
      <c r="J6" s="36"/>
      <c r="K6" s="36"/>
      <c r="L6" s="36"/>
    </row>
    <row r="7" customFormat="false" ht="15" hidden="false" customHeight="false" outlineLevel="0" collapsed="false">
      <c r="A7" s="51" t="n">
        <f aca="false">Paramètres!$B$12+7*2</f>
        <v>46307</v>
      </c>
      <c r="B7" s="38" t="n">
        <f aca="false">COUNTIFS(Journal!$AM$5:$AM$304,$A7,Journal!$AA$5:$AA$304,"&gt;=-100")</f>
        <v>0</v>
      </c>
      <c r="C7" s="49" t="str">
        <f aca="false">IF(B7=0,"",COUNTIFS(Journal!$AM$5:$AM$304,$A7,Journal!$AA$5:$AA$304,"&gt;0")/B7)</f>
        <v/>
      </c>
      <c r="D7" s="49" t="str">
        <f aca="false">IF(B7=0,"",(COUNTIFS(Journal!$AM$5:$AM$304,$A7,Journal!$Y$5:$Y$304,"TP2")+COUNTIFS(Journal!$AM$5:$AM$304,$A7,Journal!$Y$5:$Y$304,"TP1 + BE")+COUNTIFS(Journal!$AM$5:$AM$304,$A7,Journal!$Y$5:$Y$304,"TP1 (100 %)"))/B7)</f>
        <v/>
      </c>
      <c r="E7" s="43" t="n">
        <f aca="false">SUMIFS(Journal!$AA$5:$AA$304,Journal!$AM$5:$AM$304,$A7)</f>
        <v>0</v>
      </c>
      <c r="F7" s="43" t="n">
        <f aca="false">SUM($E$5:E7)</f>
        <v>0</v>
      </c>
      <c r="G7" s="49" t="str">
        <f aca="false">IF(COUNTIFS(Journal!$AM$5:$AM$304,$A7,Journal!$AD$5:$AD$304,"Oui")+COUNTIFS(Journal!$AM$5:$AM$304,$A7,Journal!$AD$5:$AD$304,"Non")=0,"",COUNTIFS(Journal!$AM$5:$AM$304,$A7,Journal!$AD$5:$AD$304,"Oui")/(COUNTIFS(Journal!$AM$5:$AM$304,$A7,Journal!$AD$5:$AD$304,"Oui")+COUNTIFS(Journal!$AM$5:$AM$304,$A7,Journal!$AD$5:$AD$304,"Non")))</f>
        <v/>
      </c>
      <c r="H7" s="52"/>
      <c r="I7" s="36"/>
      <c r="J7" s="36"/>
      <c r="K7" s="36"/>
      <c r="L7" s="36"/>
    </row>
    <row r="8" customFormat="false" ht="15" hidden="false" customHeight="false" outlineLevel="0" collapsed="false">
      <c r="A8" s="51" t="n">
        <f aca="false">Paramètres!$B$12+7*3</f>
        <v>46314</v>
      </c>
      <c r="B8" s="38" t="n">
        <f aca="false">COUNTIFS(Journal!$AM$5:$AM$304,$A8,Journal!$AA$5:$AA$304,"&gt;=-100")</f>
        <v>0</v>
      </c>
      <c r="C8" s="49" t="str">
        <f aca="false">IF(B8=0,"",COUNTIFS(Journal!$AM$5:$AM$304,$A8,Journal!$AA$5:$AA$304,"&gt;0")/B8)</f>
        <v/>
      </c>
      <c r="D8" s="49" t="str">
        <f aca="false">IF(B8=0,"",(COUNTIFS(Journal!$AM$5:$AM$304,$A8,Journal!$Y$5:$Y$304,"TP2")+COUNTIFS(Journal!$AM$5:$AM$304,$A8,Journal!$Y$5:$Y$304,"TP1 + BE")+COUNTIFS(Journal!$AM$5:$AM$304,$A8,Journal!$Y$5:$Y$304,"TP1 (100 %)"))/B8)</f>
        <v/>
      </c>
      <c r="E8" s="43" t="n">
        <f aca="false">SUMIFS(Journal!$AA$5:$AA$304,Journal!$AM$5:$AM$304,$A8)</f>
        <v>0</v>
      </c>
      <c r="F8" s="43" t="n">
        <f aca="false">SUM($E$5:E8)</f>
        <v>0</v>
      </c>
      <c r="G8" s="49" t="str">
        <f aca="false">IF(COUNTIFS(Journal!$AM$5:$AM$304,$A8,Journal!$AD$5:$AD$304,"Oui")+COUNTIFS(Journal!$AM$5:$AM$304,$A8,Journal!$AD$5:$AD$304,"Non")=0,"",COUNTIFS(Journal!$AM$5:$AM$304,$A8,Journal!$AD$5:$AD$304,"Oui")/(COUNTIFS(Journal!$AM$5:$AM$304,$A8,Journal!$AD$5:$AD$304,"Oui")+COUNTIFS(Journal!$AM$5:$AM$304,$A8,Journal!$AD$5:$AD$304,"Non")))</f>
        <v/>
      </c>
      <c r="H8" s="52"/>
      <c r="I8" s="36"/>
      <c r="J8" s="36"/>
      <c r="K8" s="36"/>
      <c r="L8" s="36"/>
    </row>
    <row r="9" customFormat="false" ht="15" hidden="false" customHeight="false" outlineLevel="0" collapsed="false">
      <c r="A9" s="51" t="n">
        <f aca="false">Paramètres!$B$12+7*4</f>
        <v>46321</v>
      </c>
      <c r="B9" s="38" t="n">
        <f aca="false">COUNTIFS(Journal!$AM$5:$AM$304,$A9,Journal!$AA$5:$AA$304,"&gt;=-100")</f>
        <v>0</v>
      </c>
      <c r="C9" s="49" t="str">
        <f aca="false">IF(B9=0,"",COUNTIFS(Journal!$AM$5:$AM$304,$A9,Journal!$AA$5:$AA$304,"&gt;0")/B9)</f>
        <v/>
      </c>
      <c r="D9" s="49" t="str">
        <f aca="false">IF(B9=0,"",(COUNTIFS(Journal!$AM$5:$AM$304,$A9,Journal!$Y$5:$Y$304,"TP2")+COUNTIFS(Journal!$AM$5:$AM$304,$A9,Journal!$Y$5:$Y$304,"TP1 + BE")+COUNTIFS(Journal!$AM$5:$AM$304,$A9,Journal!$Y$5:$Y$304,"TP1 (100 %)"))/B9)</f>
        <v/>
      </c>
      <c r="E9" s="43" t="n">
        <f aca="false">SUMIFS(Journal!$AA$5:$AA$304,Journal!$AM$5:$AM$304,$A9)</f>
        <v>0</v>
      </c>
      <c r="F9" s="43" t="n">
        <f aca="false">SUM($E$5:E9)</f>
        <v>0</v>
      </c>
      <c r="G9" s="49" t="str">
        <f aca="false">IF(COUNTIFS(Journal!$AM$5:$AM$304,$A9,Journal!$AD$5:$AD$304,"Oui")+COUNTIFS(Journal!$AM$5:$AM$304,$A9,Journal!$AD$5:$AD$304,"Non")=0,"",COUNTIFS(Journal!$AM$5:$AM$304,$A9,Journal!$AD$5:$AD$304,"Oui")/(COUNTIFS(Journal!$AM$5:$AM$304,$A9,Journal!$AD$5:$AD$304,"Oui")+COUNTIFS(Journal!$AM$5:$AM$304,$A9,Journal!$AD$5:$AD$304,"Non")))</f>
        <v/>
      </c>
      <c r="H9" s="52"/>
      <c r="I9" s="36"/>
      <c r="J9" s="36"/>
      <c r="K9" s="36"/>
      <c r="L9" s="36"/>
    </row>
    <row r="10" customFormat="false" ht="15" hidden="false" customHeight="false" outlineLevel="0" collapsed="false">
      <c r="A10" s="51" t="n">
        <f aca="false">Paramètres!$B$12+7*5</f>
        <v>46328</v>
      </c>
      <c r="B10" s="38" t="n">
        <f aca="false">COUNTIFS(Journal!$AM$5:$AM$304,$A10,Journal!$AA$5:$AA$304,"&gt;=-100")</f>
        <v>0</v>
      </c>
      <c r="C10" s="49" t="str">
        <f aca="false">IF(B10=0,"",COUNTIFS(Journal!$AM$5:$AM$304,$A10,Journal!$AA$5:$AA$304,"&gt;0")/B10)</f>
        <v/>
      </c>
      <c r="D10" s="49" t="str">
        <f aca="false">IF(B10=0,"",(COUNTIFS(Journal!$AM$5:$AM$304,$A10,Journal!$Y$5:$Y$304,"TP2")+COUNTIFS(Journal!$AM$5:$AM$304,$A10,Journal!$Y$5:$Y$304,"TP1 + BE")+COUNTIFS(Journal!$AM$5:$AM$304,$A10,Journal!$Y$5:$Y$304,"TP1 (100 %)"))/B10)</f>
        <v/>
      </c>
      <c r="E10" s="43" t="n">
        <f aca="false">SUMIFS(Journal!$AA$5:$AA$304,Journal!$AM$5:$AM$304,$A10)</f>
        <v>0</v>
      </c>
      <c r="F10" s="43" t="n">
        <f aca="false">SUM($E$5:E10)</f>
        <v>0</v>
      </c>
      <c r="G10" s="49" t="str">
        <f aca="false">IF(COUNTIFS(Journal!$AM$5:$AM$304,$A10,Journal!$AD$5:$AD$304,"Oui")+COUNTIFS(Journal!$AM$5:$AM$304,$A10,Journal!$AD$5:$AD$304,"Non")=0,"",COUNTIFS(Journal!$AM$5:$AM$304,$A10,Journal!$AD$5:$AD$304,"Oui")/(COUNTIFS(Journal!$AM$5:$AM$304,$A10,Journal!$AD$5:$AD$304,"Oui")+COUNTIFS(Journal!$AM$5:$AM$304,$A10,Journal!$AD$5:$AD$304,"Non")))</f>
        <v/>
      </c>
      <c r="H10" s="52"/>
      <c r="I10" s="36"/>
      <c r="J10" s="36"/>
      <c r="K10" s="36"/>
      <c r="L10" s="36"/>
    </row>
    <row r="11" customFormat="false" ht="15" hidden="false" customHeight="false" outlineLevel="0" collapsed="false">
      <c r="A11" s="51" t="n">
        <f aca="false">Paramètres!$B$12+7*6</f>
        <v>46335</v>
      </c>
      <c r="B11" s="38" t="n">
        <f aca="false">COUNTIFS(Journal!$AM$5:$AM$304,$A11,Journal!$AA$5:$AA$304,"&gt;=-100")</f>
        <v>0</v>
      </c>
      <c r="C11" s="49" t="str">
        <f aca="false">IF(B11=0,"",COUNTIFS(Journal!$AM$5:$AM$304,$A11,Journal!$AA$5:$AA$304,"&gt;0")/B11)</f>
        <v/>
      </c>
      <c r="D11" s="49" t="str">
        <f aca="false">IF(B11=0,"",(COUNTIFS(Journal!$AM$5:$AM$304,$A11,Journal!$Y$5:$Y$304,"TP2")+COUNTIFS(Journal!$AM$5:$AM$304,$A11,Journal!$Y$5:$Y$304,"TP1 + BE")+COUNTIFS(Journal!$AM$5:$AM$304,$A11,Journal!$Y$5:$Y$304,"TP1 (100 %)"))/B11)</f>
        <v/>
      </c>
      <c r="E11" s="43" t="n">
        <f aca="false">SUMIFS(Journal!$AA$5:$AA$304,Journal!$AM$5:$AM$304,$A11)</f>
        <v>0</v>
      </c>
      <c r="F11" s="43" t="n">
        <f aca="false">SUM($E$5:E11)</f>
        <v>0</v>
      </c>
      <c r="G11" s="49" t="str">
        <f aca="false">IF(COUNTIFS(Journal!$AM$5:$AM$304,$A11,Journal!$AD$5:$AD$304,"Oui")+COUNTIFS(Journal!$AM$5:$AM$304,$A11,Journal!$AD$5:$AD$304,"Non")=0,"",COUNTIFS(Journal!$AM$5:$AM$304,$A11,Journal!$AD$5:$AD$304,"Oui")/(COUNTIFS(Journal!$AM$5:$AM$304,$A11,Journal!$AD$5:$AD$304,"Oui")+COUNTIFS(Journal!$AM$5:$AM$304,$A11,Journal!$AD$5:$AD$304,"Non")))</f>
        <v/>
      </c>
      <c r="H11" s="52"/>
      <c r="I11" s="36"/>
      <c r="J11" s="36"/>
      <c r="K11" s="36"/>
      <c r="L11" s="36"/>
    </row>
    <row r="12" customFormat="false" ht="15" hidden="false" customHeight="false" outlineLevel="0" collapsed="false">
      <c r="A12" s="51" t="n">
        <f aca="false">Paramètres!$B$12+7*7</f>
        <v>46342</v>
      </c>
      <c r="B12" s="38" t="n">
        <f aca="false">COUNTIFS(Journal!$AM$5:$AM$304,$A12,Journal!$AA$5:$AA$304,"&gt;=-100")</f>
        <v>0</v>
      </c>
      <c r="C12" s="49" t="str">
        <f aca="false">IF(B12=0,"",COUNTIFS(Journal!$AM$5:$AM$304,$A12,Journal!$AA$5:$AA$304,"&gt;0")/B12)</f>
        <v/>
      </c>
      <c r="D12" s="49" t="str">
        <f aca="false">IF(B12=0,"",(COUNTIFS(Journal!$AM$5:$AM$304,$A12,Journal!$Y$5:$Y$304,"TP2")+COUNTIFS(Journal!$AM$5:$AM$304,$A12,Journal!$Y$5:$Y$304,"TP1 + BE")+COUNTIFS(Journal!$AM$5:$AM$304,$A12,Journal!$Y$5:$Y$304,"TP1 (100 %)"))/B12)</f>
        <v/>
      </c>
      <c r="E12" s="43" t="n">
        <f aca="false">SUMIFS(Journal!$AA$5:$AA$304,Journal!$AM$5:$AM$304,$A12)</f>
        <v>0</v>
      </c>
      <c r="F12" s="43" t="n">
        <f aca="false">SUM($E$5:E12)</f>
        <v>0</v>
      </c>
      <c r="G12" s="49" t="str">
        <f aca="false">IF(COUNTIFS(Journal!$AM$5:$AM$304,$A12,Journal!$AD$5:$AD$304,"Oui")+COUNTIFS(Journal!$AM$5:$AM$304,$A12,Journal!$AD$5:$AD$304,"Non")=0,"",COUNTIFS(Journal!$AM$5:$AM$304,$A12,Journal!$AD$5:$AD$304,"Oui")/(COUNTIFS(Journal!$AM$5:$AM$304,$A12,Journal!$AD$5:$AD$304,"Oui")+COUNTIFS(Journal!$AM$5:$AM$304,$A12,Journal!$AD$5:$AD$304,"Non")))</f>
        <v/>
      </c>
      <c r="H12" s="52"/>
      <c r="I12" s="36"/>
      <c r="J12" s="36"/>
      <c r="K12" s="36"/>
      <c r="L12" s="36"/>
    </row>
    <row r="13" customFormat="false" ht="15" hidden="false" customHeight="false" outlineLevel="0" collapsed="false">
      <c r="A13" s="51" t="n">
        <f aca="false">Paramètres!$B$12+7*8</f>
        <v>46349</v>
      </c>
      <c r="B13" s="38" t="n">
        <f aca="false">COUNTIFS(Journal!$AM$5:$AM$304,$A13,Journal!$AA$5:$AA$304,"&gt;=-100")</f>
        <v>0</v>
      </c>
      <c r="C13" s="49" t="str">
        <f aca="false">IF(B13=0,"",COUNTIFS(Journal!$AM$5:$AM$304,$A13,Journal!$AA$5:$AA$304,"&gt;0")/B13)</f>
        <v/>
      </c>
      <c r="D13" s="49" t="str">
        <f aca="false">IF(B13=0,"",(COUNTIFS(Journal!$AM$5:$AM$304,$A13,Journal!$Y$5:$Y$304,"TP2")+COUNTIFS(Journal!$AM$5:$AM$304,$A13,Journal!$Y$5:$Y$304,"TP1 + BE")+COUNTIFS(Journal!$AM$5:$AM$304,$A13,Journal!$Y$5:$Y$304,"TP1 (100 %)"))/B13)</f>
        <v/>
      </c>
      <c r="E13" s="43" t="n">
        <f aca="false">SUMIFS(Journal!$AA$5:$AA$304,Journal!$AM$5:$AM$304,$A13)</f>
        <v>0</v>
      </c>
      <c r="F13" s="43" t="n">
        <f aca="false">SUM($E$5:E13)</f>
        <v>0</v>
      </c>
      <c r="G13" s="49" t="str">
        <f aca="false">IF(COUNTIFS(Journal!$AM$5:$AM$304,$A13,Journal!$AD$5:$AD$304,"Oui")+COUNTIFS(Journal!$AM$5:$AM$304,$A13,Journal!$AD$5:$AD$304,"Non")=0,"",COUNTIFS(Journal!$AM$5:$AM$304,$A13,Journal!$AD$5:$AD$304,"Oui")/(COUNTIFS(Journal!$AM$5:$AM$304,$A13,Journal!$AD$5:$AD$304,"Oui")+COUNTIFS(Journal!$AM$5:$AM$304,$A13,Journal!$AD$5:$AD$304,"Non")))</f>
        <v/>
      </c>
      <c r="H13" s="52"/>
      <c r="I13" s="36"/>
      <c r="J13" s="36"/>
      <c r="K13" s="36"/>
      <c r="L13" s="36"/>
    </row>
    <row r="14" customFormat="false" ht="15" hidden="false" customHeight="false" outlineLevel="0" collapsed="false">
      <c r="A14" s="51" t="n">
        <f aca="false">Paramètres!$B$12+7*9</f>
        <v>46356</v>
      </c>
      <c r="B14" s="38" t="n">
        <f aca="false">COUNTIFS(Journal!$AM$5:$AM$304,$A14,Journal!$AA$5:$AA$304,"&gt;=-100")</f>
        <v>0</v>
      </c>
      <c r="C14" s="49" t="str">
        <f aca="false">IF(B14=0,"",COUNTIFS(Journal!$AM$5:$AM$304,$A14,Journal!$AA$5:$AA$304,"&gt;0")/B14)</f>
        <v/>
      </c>
      <c r="D14" s="49" t="str">
        <f aca="false">IF(B14=0,"",(COUNTIFS(Journal!$AM$5:$AM$304,$A14,Journal!$Y$5:$Y$304,"TP2")+COUNTIFS(Journal!$AM$5:$AM$304,$A14,Journal!$Y$5:$Y$304,"TP1 + BE")+COUNTIFS(Journal!$AM$5:$AM$304,$A14,Journal!$Y$5:$Y$304,"TP1 (100 %)"))/B14)</f>
        <v/>
      </c>
      <c r="E14" s="43" t="n">
        <f aca="false">SUMIFS(Journal!$AA$5:$AA$304,Journal!$AM$5:$AM$304,$A14)</f>
        <v>0</v>
      </c>
      <c r="F14" s="43" t="n">
        <f aca="false">SUM($E$5:E14)</f>
        <v>0</v>
      </c>
      <c r="G14" s="49" t="str">
        <f aca="false">IF(COUNTIFS(Journal!$AM$5:$AM$304,$A14,Journal!$AD$5:$AD$304,"Oui")+COUNTIFS(Journal!$AM$5:$AM$304,$A14,Journal!$AD$5:$AD$304,"Non")=0,"",COUNTIFS(Journal!$AM$5:$AM$304,$A14,Journal!$AD$5:$AD$304,"Oui")/(COUNTIFS(Journal!$AM$5:$AM$304,$A14,Journal!$AD$5:$AD$304,"Oui")+COUNTIFS(Journal!$AM$5:$AM$304,$A14,Journal!$AD$5:$AD$304,"Non")))</f>
        <v/>
      </c>
      <c r="H14" s="52"/>
      <c r="I14" s="36"/>
      <c r="J14" s="36"/>
      <c r="K14" s="36"/>
      <c r="L14" s="36"/>
    </row>
    <row r="15" customFormat="false" ht="15" hidden="false" customHeight="false" outlineLevel="0" collapsed="false">
      <c r="A15" s="51" t="n">
        <f aca="false">Paramètres!$B$12+7*10</f>
        <v>46363</v>
      </c>
      <c r="B15" s="38" t="n">
        <f aca="false">COUNTIFS(Journal!$AM$5:$AM$304,$A15,Journal!$AA$5:$AA$304,"&gt;=-100")</f>
        <v>0</v>
      </c>
      <c r="C15" s="49" t="str">
        <f aca="false">IF(B15=0,"",COUNTIFS(Journal!$AM$5:$AM$304,$A15,Journal!$AA$5:$AA$304,"&gt;0")/B15)</f>
        <v/>
      </c>
      <c r="D15" s="49" t="str">
        <f aca="false">IF(B15=0,"",(COUNTIFS(Journal!$AM$5:$AM$304,$A15,Journal!$Y$5:$Y$304,"TP2")+COUNTIFS(Journal!$AM$5:$AM$304,$A15,Journal!$Y$5:$Y$304,"TP1 + BE")+COUNTIFS(Journal!$AM$5:$AM$304,$A15,Journal!$Y$5:$Y$304,"TP1 (100 %)"))/B15)</f>
        <v/>
      </c>
      <c r="E15" s="43" t="n">
        <f aca="false">SUMIFS(Journal!$AA$5:$AA$304,Journal!$AM$5:$AM$304,$A15)</f>
        <v>0</v>
      </c>
      <c r="F15" s="43" t="n">
        <f aca="false">SUM($E$5:E15)</f>
        <v>0</v>
      </c>
      <c r="G15" s="49" t="str">
        <f aca="false">IF(COUNTIFS(Journal!$AM$5:$AM$304,$A15,Journal!$AD$5:$AD$304,"Oui")+COUNTIFS(Journal!$AM$5:$AM$304,$A15,Journal!$AD$5:$AD$304,"Non")=0,"",COUNTIFS(Journal!$AM$5:$AM$304,$A15,Journal!$AD$5:$AD$304,"Oui")/(COUNTIFS(Journal!$AM$5:$AM$304,$A15,Journal!$AD$5:$AD$304,"Oui")+COUNTIFS(Journal!$AM$5:$AM$304,$A15,Journal!$AD$5:$AD$304,"Non")))</f>
        <v/>
      </c>
      <c r="H15" s="52"/>
      <c r="I15" s="36"/>
      <c r="J15" s="36"/>
      <c r="K15" s="36"/>
      <c r="L15" s="36"/>
    </row>
    <row r="16" customFormat="false" ht="15" hidden="false" customHeight="false" outlineLevel="0" collapsed="false">
      <c r="A16" s="51" t="n">
        <f aca="false">Paramètres!$B$12+7*11</f>
        <v>46370</v>
      </c>
      <c r="B16" s="38" t="n">
        <f aca="false">COUNTIFS(Journal!$AM$5:$AM$304,$A16,Journal!$AA$5:$AA$304,"&gt;=-100")</f>
        <v>0</v>
      </c>
      <c r="C16" s="49" t="str">
        <f aca="false">IF(B16=0,"",COUNTIFS(Journal!$AM$5:$AM$304,$A16,Journal!$AA$5:$AA$304,"&gt;0")/B16)</f>
        <v/>
      </c>
      <c r="D16" s="49" t="str">
        <f aca="false">IF(B16=0,"",(COUNTIFS(Journal!$AM$5:$AM$304,$A16,Journal!$Y$5:$Y$304,"TP2")+COUNTIFS(Journal!$AM$5:$AM$304,$A16,Journal!$Y$5:$Y$304,"TP1 + BE")+COUNTIFS(Journal!$AM$5:$AM$304,$A16,Journal!$Y$5:$Y$304,"TP1 (100 %)"))/B16)</f>
        <v/>
      </c>
      <c r="E16" s="43" t="n">
        <f aca="false">SUMIFS(Journal!$AA$5:$AA$304,Journal!$AM$5:$AM$304,$A16)</f>
        <v>0</v>
      </c>
      <c r="F16" s="43" t="n">
        <f aca="false">SUM($E$5:E16)</f>
        <v>0</v>
      </c>
      <c r="G16" s="49" t="str">
        <f aca="false">IF(COUNTIFS(Journal!$AM$5:$AM$304,$A16,Journal!$AD$5:$AD$304,"Oui")+COUNTIFS(Journal!$AM$5:$AM$304,$A16,Journal!$AD$5:$AD$304,"Non")=0,"",COUNTIFS(Journal!$AM$5:$AM$304,$A16,Journal!$AD$5:$AD$304,"Oui")/(COUNTIFS(Journal!$AM$5:$AM$304,$A16,Journal!$AD$5:$AD$304,"Oui")+COUNTIFS(Journal!$AM$5:$AM$304,$A16,Journal!$AD$5:$AD$304,"Non")))</f>
        <v/>
      </c>
      <c r="H16" s="52"/>
      <c r="I16" s="36"/>
      <c r="J16" s="36"/>
      <c r="K16" s="36"/>
      <c r="L16" s="36"/>
    </row>
    <row r="17" customFormat="false" ht="15" hidden="false" customHeight="false" outlineLevel="0" collapsed="false">
      <c r="A17" s="51" t="n">
        <f aca="false">Paramètres!$B$12+7*12</f>
        <v>46377</v>
      </c>
      <c r="B17" s="38" t="n">
        <f aca="false">COUNTIFS(Journal!$AM$5:$AM$304,$A17,Journal!$AA$5:$AA$304,"&gt;=-100")</f>
        <v>0</v>
      </c>
      <c r="C17" s="49" t="str">
        <f aca="false">IF(B17=0,"",COUNTIFS(Journal!$AM$5:$AM$304,$A17,Journal!$AA$5:$AA$304,"&gt;0")/B17)</f>
        <v/>
      </c>
      <c r="D17" s="49" t="str">
        <f aca="false">IF(B17=0,"",(COUNTIFS(Journal!$AM$5:$AM$304,$A17,Journal!$Y$5:$Y$304,"TP2")+COUNTIFS(Journal!$AM$5:$AM$304,$A17,Journal!$Y$5:$Y$304,"TP1 + BE")+COUNTIFS(Journal!$AM$5:$AM$304,$A17,Journal!$Y$5:$Y$304,"TP1 (100 %)"))/B17)</f>
        <v/>
      </c>
      <c r="E17" s="43" t="n">
        <f aca="false">SUMIFS(Journal!$AA$5:$AA$304,Journal!$AM$5:$AM$304,$A17)</f>
        <v>0</v>
      </c>
      <c r="F17" s="43" t="n">
        <f aca="false">SUM($E$5:E17)</f>
        <v>0</v>
      </c>
      <c r="G17" s="49" t="str">
        <f aca="false">IF(COUNTIFS(Journal!$AM$5:$AM$304,$A17,Journal!$AD$5:$AD$304,"Oui")+COUNTIFS(Journal!$AM$5:$AM$304,$A17,Journal!$AD$5:$AD$304,"Non")=0,"",COUNTIFS(Journal!$AM$5:$AM$304,$A17,Journal!$AD$5:$AD$304,"Oui")/(COUNTIFS(Journal!$AM$5:$AM$304,$A17,Journal!$AD$5:$AD$304,"Oui")+COUNTIFS(Journal!$AM$5:$AM$304,$A17,Journal!$AD$5:$AD$304,"Non")))</f>
        <v/>
      </c>
      <c r="H17" s="52"/>
      <c r="I17" s="36"/>
      <c r="J17" s="36"/>
      <c r="K17" s="36"/>
      <c r="L17" s="36"/>
    </row>
    <row r="18" customFormat="false" ht="15" hidden="false" customHeight="false" outlineLevel="0" collapsed="false">
      <c r="A18" s="51" t="n">
        <f aca="false">Paramètres!$B$12+7*13</f>
        <v>46384</v>
      </c>
      <c r="B18" s="38" t="n">
        <f aca="false">COUNTIFS(Journal!$AM$5:$AM$304,$A18,Journal!$AA$5:$AA$304,"&gt;=-100")</f>
        <v>0</v>
      </c>
      <c r="C18" s="49" t="str">
        <f aca="false">IF(B18=0,"",COUNTIFS(Journal!$AM$5:$AM$304,$A18,Journal!$AA$5:$AA$304,"&gt;0")/B18)</f>
        <v/>
      </c>
      <c r="D18" s="49" t="str">
        <f aca="false">IF(B18=0,"",(COUNTIFS(Journal!$AM$5:$AM$304,$A18,Journal!$Y$5:$Y$304,"TP2")+COUNTIFS(Journal!$AM$5:$AM$304,$A18,Journal!$Y$5:$Y$304,"TP1 + BE")+COUNTIFS(Journal!$AM$5:$AM$304,$A18,Journal!$Y$5:$Y$304,"TP1 (100 %)"))/B18)</f>
        <v/>
      </c>
      <c r="E18" s="43" t="n">
        <f aca="false">SUMIFS(Journal!$AA$5:$AA$304,Journal!$AM$5:$AM$304,$A18)</f>
        <v>0</v>
      </c>
      <c r="F18" s="43" t="n">
        <f aca="false">SUM($E$5:E18)</f>
        <v>0</v>
      </c>
      <c r="G18" s="49" t="str">
        <f aca="false">IF(COUNTIFS(Journal!$AM$5:$AM$304,$A18,Journal!$AD$5:$AD$304,"Oui")+COUNTIFS(Journal!$AM$5:$AM$304,$A18,Journal!$AD$5:$AD$304,"Non")=0,"",COUNTIFS(Journal!$AM$5:$AM$304,$A18,Journal!$AD$5:$AD$304,"Oui")/(COUNTIFS(Journal!$AM$5:$AM$304,$A18,Journal!$AD$5:$AD$304,"Oui")+COUNTIFS(Journal!$AM$5:$AM$304,$A18,Journal!$AD$5:$AD$304,"Non")))</f>
        <v/>
      </c>
      <c r="H18" s="52"/>
      <c r="I18" s="36"/>
      <c r="J18" s="36"/>
      <c r="K18" s="36"/>
      <c r="L18" s="36"/>
    </row>
    <row r="19" customFormat="false" ht="15" hidden="false" customHeight="false" outlineLevel="0" collapsed="false">
      <c r="A19" s="51" t="n">
        <f aca="false">Paramètres!$B$12+7*14</f>
        <v>46391</v>
      </c>
      <c r="B19" s="38" t="n">
        <f aca="false">COUNTIFS(Journal!$AM$5:$AM$304,$A19,Journal!$AA$5:$AA$304,"&gt;=-100")</f>
        <v>0</v>
      </c>
      <c r="C19" s="49" t="str">
        <f aca="false">IF(B19=0,"",COUNTIFS(Journal!$AM$5:$AM$304,$A19,Journal!$AA$5:$AA$304,"&gt;0")/B19)</f>
        <v/>
      </c>
      <c r="D19" s="49" t="str">
        <f aca="false">IF(B19=0,"",(COUNTIFS(Journal!$AM$5:$AM$304,$A19,Journal!$Y$5:$Y$304,"TP2")+COUNTIFS(Journal!$AM$5:$AM$304,$A19,Journal!$Y$5:$Y$304,"TP1 + BE")+COUNTIFS(Journal!$AM$5:$AM$304,$A19,Journal!$Y$5:$Y$304,"TP1 (100 %)"))/B19)</f>
        <v/>
      </c>
      <c r="E19" s="43" t="n">
        <f aca="false">SUMIFS(Journal!$AA$5:$AA$304,Journal!$AM$5:$AM$304,$A19)</f>
        <v>0</v>
      </c>
      <c r="F19" s="43" t="n">
        <f aca="false">SUM($E$5:E19)</f>
        <v>0</v>
      </c>
      <c r="G19" s="49" t="str">
        <f aca="false">IF(COUNTIFS(Journal!$AM$5:$AM$304,$A19,Journal!$AD$5:$AD$304,"Oui")+COUNTIFS(Journal!$AM$5:$AM$304,$A19,Journal!$AD$5:$AD$304,"Non")=0,"",COUNTIFS(Journal!$AM$5:$AM$304,$A19,Journal!$AD$5:$AD$304,"Oui")/(COUNTIFS(Journal!$AM$5:$AM$304,$A19,Journal!$AD$5:$AD$304,"Oui")+COUNTIFS(Journal!$AM$5:$AM$304,$A19,Journal!$AD$5:$AD$304,"Non")))</f>
        <v/>
      </c>
      <c r="H19" s="52"/>
      <c r="I19" s="36"/>
      <c r="J19" s="36"/>
      <c r="K19" s="36"/>
      <c r="L19" s="36"/>
    </row>
    <row r="20" customFormat="false" ht="15" hidden="false" customHeight="false" outlineLevel="0" collapsed="false">
      <c r="A20" s="51" t="n">
        <f aca="false">Paramètres!$B$12+7*15</f>
        <v>46398</v>
      </c>
      <c r="B20" s="38" t="n">
        <f aca="false">COUNTIFS(Journal!$AM$5:$AM$304,$A20,Journal!$AA$5:$AA$304,"&gt;=-100")</f>
        <v>0</v>
      </c>
      <c r="C20" s="49" t="str">
        <f aca="false">IF(B20=0,"",COUNTIFS(Journal!$AM$5:$AM$304,$A20,Journal!$AA$5:$AA$304,"&gt;0")/B20)</f>
        <v/>
      </c>
      <c r="D20" s="49" t="str">
        <f aca="false">IF(B20=0,"",(COUNTIFS(Journal!$AM$5:$AM$304,$A20,Journal!$Y$5:$Y$304,"TP2")+COUNTIFS(Journal!$AM$5:$AM$304,$A20,Journal!$Y$5:$Y$304,"TP1 + BE")+COUNTIFS(Journal!$AM$5:$AM$304,$A20,Journal!$Y$5:$Y$304,"TP1 (100 %)"))/B20)</f>
        <v/>
      </c>
      <c r="E20" s="43" t="n">
        <f aca="false">SUMIFS(Journal!$AA$5:$AA$304,Journal!$AM$5:$AM$304,$A20)</f>
        <v>0</v>
      </c>
      <c r="F20" s="43" t="n">
        <f aca="false">SUM($E$5:E20)</f>
        <v>0</v>
      </c>
      <c r="G20" s="49" t="str">
        <f aca="false">IF(COUNTIFS(Journal!$AM$5:$AM$304,$A20,Journal!$AD$5:$AD$304,"Oui")+COUNTIFS(Journal!$AM$5:$AM$304,$A20,Journal!$AD$5:$AD$304,"Non")=0,"",COUNTIFS(Journal!$AM$5:$AM$304,$A20,Journal!$AD$5:$AD$304,"Oui")/(COUNTIFS(Journal!$AM$5:$AM$304,$A20,Journal!$AD$5:$AD$304,"Oui")+COUNTIFS(Journal!$AM$5:$AM$304,$A20,Journal!$AD$5:$AD$304,"Non")))</f>
        <v/>
      </c>
      <c r="H20" s="52"/>
      <c r="I20" s="36"/>
      <c r="J20" s="36"/>
      <c r="K20" s="36"/>
      <c r="L20" s="36"/>
    </row>
    <row r="21" customFormat="false" ht="15" hidden="false" customHeight="false" outlineLevel="0" collapsed="false">
      <c r="A21" s="51" t="n">
        <f aca="false">Paramètres!$B$12+7*16</f>
        <v>46405</v>
      </c>
      <c r="B21" s="38" t="n">
        <f aca="false">COUNTIFS(Journal!$AM$5:$AM$304,$A21,Journal!$AA$5:$AA$304,"&gt;=-100")</f>
        <v>0</v>
      </c>
      <c r="C21" s="49" t="str">
        <f aca="false">IF(B21=0,"",COUNTIFS(Journal!$AM$5:$AM$304,$A21,Journal!$AA$5:$AA$304,"&gt;0")/B21)</f>
        <v/>
      </c>
      <c r="D21" s="49" t="str">
        <f aca="false">IF(B21=0,"",(COUNTIFS(Journal!$AM$5:$AM$304,$A21,Journal!$Y$5:$Y$304,"TP2")+COUNTIFS(Journal!$AM$5:$AM$304,$A21,Journal!$Y$5:$Y$304,"TP1 + BE")+COUNTIFS(Journal!$AM$5:$AM$304,$A21,Journal!$Y$5:$Y$304,"TP1 (100 %)"))/B21)</f>
        <v/>
      </c>
      <c r="E21" s="43" t="n">
        <f aca="false">SUMIFS(Journal!$AA$5:$AA$304,Journal!$AM$5:$AM$304,$A21)</f>
        <v>0</v>
      </c>
      <c r="F21" s="43" t="n">
        <f aca="false">SUM($E$5:E21)</f>
        <v>0</v>
      </c>
      <c r="G21" s="49" t="str">
        <f aca="false">IF(COUNTIFS(Journal!$AM$5:$AM$304,$A21,Journal!$AD$5:$AD$304,"Oui")+COUNTIFS(Journal!$AM$5:$AM$304,$A21,Journal!$AD$5:$AD$304,"Non")=0,"",COUNTIFS(Journal!$AM$5:$AM$304,$A21,Journal!$AD$5:$AD$304,"Oui")/(COUNTIFS(Journal!$AM$5:$AM$304,$A21,Journal!$AD$5:$AD$304,"Oui")+COUNTIFS(Journal!$AM$5:$AM$304,$A21,Journal!$AD$5:$AD$304,"Non")))</f>
        <v/>
      </c>
      <c r="H21" s="52"/>
      <c r="I21" s="36"/>
      <c r="J21" s="36"/>
      <c r="K21" s="36"/>
      <c r="L21" s="36"/>
    </row>
    <row r="22" customFormat="false" ht="15" hidden="false" customHeight="false" outlineLevel="0" collapsed="false">
      <c r="A22" s="51" t="n">
        <f aca="false">Paramètres!$B$12+7*17</f>
        <v>46412</v>
      </c>
      <c r="B22" s="38" t="n">
        <f aca="false">COUNTIFS(Journal!$AM$5:$AM$304,$A22,Journal!$AA$5:$AA$304,"&gt;=-100")</f>
        <v>0</v>
      </c>
      <c r="C22" s="49" t="str">
        <f aca="false">IF(B22=0,"",COUNTIFS(Journal!$AM$5:$AM$304,$A22,Journal!$AA$5:$AA$304,"&gt;0")/B22)</f>
        <v/>
      </c>
      <c r="D22" s="49" t="str">
        <f aca="false">IF(B22=0,"",(COUNTIFS(Journal!$AM$5:$AM$304,$A22,Journal!$Y$5:$Y$304,"TP2")+COUNTIFS(Journal!$AM$5:$AM$304,$A22,Journal!$Y$5:$Y$304,"TP1 + BE")+COUNTIFS(Journal!$AM$5:$AM$304,$A22,Journal!$Y$5:$Y$304,"TP1 (100 %)"))/B22)</f>
        <v/>
      </c>
      <c r="E22" s="43" t="n">
        <f aca="false">SUMIFS(Journal!$AA$5:$AA$304,Journal!$AM$5:$AM$304,$A22)</f>
        <v>0</v>
      </c>
      <c r="F22" s="43" t="n">
        <f aca="false">SUM($E$5:E22)</f>
        <v>0</v>
      </c>
      <c r="G22" s="49" t="str">
        <f aca="false">IF(COUNTIFS(Journal!$AM$5:$AM$304,$A22,Journal!$AD$5:$AD$304,"Oui")+COUNTIFS(Journal!$AM$5:$AM$304,$A22,Journal!$AD$5:$AD$304,"Non")=0,"",COUNTIFS(Journal!$AM$5:$AM$304,$A22,Journal!$AD$5:$AD$304,"Oui")/(COUNTIFS(Journal!$AM$5:$AM$304,$A22,Journal!$AD$5:$AD$304,"Oui")+COUNTIFS(Journal!$AM$5:$AM$304,$A22,Journal!$AD$5:$AD$304,"Non")))</f>
        <v/>
      </c>
      <c r="H22" s="52"/>
      <c r="I22" s="36"/>
      <c r="J22" s="36"/>
      <c r="K22" s="36"/>
      <c r="L22" s="36"/>
    </row>
    <row r="23" customFormat="false" ht="15" hidden="false" customHeight="false" outlineLevel="0" collapsed="false">
      <c r="A23" s="51" t="n">
        <f aca="false">Paramètres!$B$12+7*18</f>
        <v>46419</v>
      </c>
      <c r="B23" s="38" t="n">
        <f aca="false">COUNTIFS(Journal!$AM$5:$AM$304,$A23,Journal!$AA$5:$AA$304,"&gt;=-100")</f>
        <v>0</v>
      </c>
      <c r="C23" s="49" t="str">
        <f aca="false">IF(B23=0,"",COUNTIFS(Journal!$AM$5:$AM$304,$A23,Journal!$AA$5:$AA$304,"&gt;0")/B23)</f>
        <v/>
      </c>
      <c r="D23" s="49" t="str">
        <f aca="false">IF(B23=0,"",(COUNTIFS(Journal!$AM$5:$AM$304,$A23,Journal!$Y$5:$Y$304,"TP2")+COUNTIFS(Journal!$AM$5:$AM$304,$A23,Journal!$Y$5:$Y$304,"TP1 + BE")+COUNTIFS(Journal!$AM$5:$AM$304,$A23,Journal!$Y$5:$Y$304,"TP1 (100 %)"))/B23)</f>
        <v/>
      </c>
      <c r="E23" s="43" t="n">
        <f aca="false">SUMIFS(Journal!$AA$5:$AA$304,Journal!$AM$5:$AM$304,$A23)</f>
        <v>0</v>
      </c>
      <c r="F23" s="43" t="n">
        <f aca="false">SUM($E$5:E23)</f>
        <v>0</v>
      </c>
      <c r="G23" s="49" t="str">
        <f aca="false">IF(COUNTIFS(Journal!$AM$5:$AM$304,$A23,Journal!$AD$5:$AD$304,"Oui")+COUNTIFS(Journal!$AM$5:$AM$304,$A23,Journal!$AD$5:$AD$304,"Non")=0,"",COUNTIFS(Journal!$AM$5:$AM$304,$A23,Journal!$AD$5:$AD$304,"Oui")/(COUNTIFS(Journal!$AM$5:$AM$304,$A23,Journal!$AD$5:$AD$304,"Oui")+COUNTIFS(Journal!$AM$5:$AM$304,$A23,Journal!$AD$5:$AD$304,"Non")))</f>
        <v/>
      </c>
      <c r="H23" s="52"/>
      <c r="I23" s="36"/>
      <c r="J23" s="36"/>
      <c r="K23" s="36"/>
      <c r="L23" s="36"/>
    </row>
    <row r="24" customFormat="false" ht="15" hidden="false" customHeight="false" outlineLevel="0" collapsed="false">
      <c r="A24" s="51" t="n">
        <f aca="false">Paramètres!$B$12+7*19</f>
        <v>46426</v>
      </c>
      <c r="B24" s="38" t="n">
        <f aca="false">COUNTIFS(Journal!$AM$5:$AM$304,$A24,Journal!$AA$5:$AA$304,"&gt;=-100")</f>
        <v>0</v>
      </c>
      <c r="C24" s="49" t="str">
        <f aca="false">IF(B24=0,"",COUNTIFS(Journal!$AM$5:$AM$304,$A24,Journal!$AA$5:$AA$304,"&gt;0")/B24)</f>
        <v/>
      </c>
      <c r="D24" s="49" t="str">
        <f aca="false">IF(B24=0,"",(COUNTIFS(Journal!$AM$5:$AM$304,$A24,Journal!$Y$5:$Y$304,"TP2")+COUNTIFS(Journal!$AM$5:$AM$304,$A24,Journal!$Y$5:$Y$304,"TP1 + BE")+COUNTIFS(Journal!$AM$5:$AM$304,$A24,Journal!$Y$5:$Y$304,"TP1 (100 %)"))/B24)</f>
        <v/>
      </c>
      <c r="E24" s="43" t="n">
        <f aca="false">SUMIFS(Journal!$AA$5:$AA$304,Journal!$AM$5:$AM$304,$A24)</f>
        <v>0</v>
      </c>
      <c r="F24" s="43" t="n">
        <f aca="false">SUM($E$5:E24)</f>
        <v>0</v>
      </c>
      <c r="G24" s="49" t="str">
        <f aca="false">IF(COUNTIFS(Journal!$AM$5:$AM$304,$A24,Journal!$AD$5:$AD$304,"Oui")+COUNTIFS(Journal!$AM$5:$AM$304,$A24,Journal!$AD$5:$AD$304,"Non")=0,"",COUNTIFS(Journal!$AM$5:$AM$304,$A24,Journal!$AD$5:$AD$304,"Oui")/(COUNTIFS(Journal!$AM$5:$AM$304,$A24,Journal!$AD$5:$AD$304,"Oui")+COUNTIFS(Journal!$AM$5:$AM$304,$A24,Journal!$AD$5:$AD$304,"Non")))</f>
        <v/>
      </c>
      <c r="H24" s="52"/>
      <c r="I24" s="36"/>
      <c r="J24" s="36"/>
      <c r="K24" s="36"/>
      <c r="L24" s="36"/>
    </row>
    <row r="25" customFormat="false" ht="15" hidden="false" customHeight="false" outlineLevel="0" collapsed="false">
      <c r="A25" s="51" t="n">
        <f aca="false">Paramètres!$B$12+7*20</f>
        <v>46433</v>
      </c>
      <c r="B25" s="38" t="n">
        <f aca="false">COUNTIFS(Journal!$AM$5:$AM$304,$A25,Journal!$AA$5:$AA$304,"&gt;=-100")</f>
        <v>0</v>
      </c>
      <c r="C25" s="49" t="str">
        <f aca="false">IF(B25=0,"",COUNTIFS(Journal!$AM$5:$AM$304,$A25,Journal!$AA$5:$AA$304,"&gt;0")/B25)</f>
        <v/>
      </c>
      <c r="D25" s="49" t="str">
        <f aca="false">IF(B25=0,"",(COUNTIFS(Journal!$AM$5:$AM$304,$A25,Journal!$Y$5:$Y$304,"TP2")+COUNTIFS(Journal!$AM$5:$AM$304,$A25,Journal!$Y$5:$Y$304,"TP1 + BE")+COUNTIFS(Journal!$AM$5:$AM$304,$A25,Journal!$Y$5:$Y$304,"TP1 (100 %)"))/B25)</f>
        <v/>
      </c>
      <c r="E25" s="43" t="n">
        <f aca="false">SUMIFS(Journal!$AA$5:$AA$304,Journal!$AM$5:$AM$304,$A25)</f>
        <v>0</v>
      </c>
      <c r="F25" s="43" t="n">
        <f aca="false">SUM($E$5:E25)</f>
        <v>0</v>
      </c>
      <c r="G25" s="49" t="str">
        <f aca="false">IF(COUNTIFS(Journal!$AM$5:$AM$304,$A25,Journal!$AD$5:$AD$304,"Oui")+COUNTIFS(Journal!$AM$5:$AM$304,$A25,Journal!$AD$5:$AD$304,"Non")=0,"",COUNTIFS(Journal!$AM$5:$AM$304,$A25,Journal!$AD$5:$AD$304,"Oui")/(COUNTIFS(Journal!$AM$5:$AM$304,$A25,Journal!$AD$5:$AD$304,"Oui")+COUNTIFS(Journal!$AM$5:$AM$304,$A25,Journal!$AD$5:$AD$304,"Non")))</f>
        <v/>
      </c>
      <c r="H25" s="52"/>
      <c r="I25" s="36"/>
      <c r="J25" s="36"/>
      <c r="K25" s="36"/>
      <c r="L25" s="36"/>
    </row>
    <row r="26" customFormat="false" ht="15" hidden="false" customHeight="false" outlineLevel="0" collapsed="false">
      <c r="A26" s="51" t="n">
        <f aca="false">Paramètres!$B$12+7*21</f>
        <v>46440</v>
      </c>
      <c r="B26" s="38" t="n">
        <f aca="false">COUNTIFS(Journal!$AM$5:$AM$304,$A26,Journal!$AA$5:$AA$304,"&gt;=-100")</f>
        <v>0</v>
      </c>
      <c r="C26" s="49" t="str">
        <f aca="false">IF(B26=0,"",COUNTIFS(Journal!$AM$5:$AM$304,$A26,Journal!$AA$5:$AA$304,"&gt;0")/B26)</f>
        <v/>
      </c>
      <c r="D26" s="49" t="str">
        <f aca="false">IF(B26=0,"",(COUNTIFS(Journal!$AM$5:$AM$304,$A26,Journal!$Y$5:$Y$304,"TP2")+COUNTIFS(Journal!$AM$5:$AM$304,$A26,Journal!$Y$5:$Y$304,"TP1 + BE")+COUNTIFS(Journal!$AM$5:$AM$304,$A26,Journal!$Y$5:$Y$304,"TP1 (100 %)"))/B26)</f>
        <v/>
      </c>
      <c r="E26" s="43" t="n">
        <f aca="false">SUMIFS(Journal!$AA$5:$AA$304,Journal!$AM$5:$AM$304,$A26)</f>
        <v>0</v>
      </c>
      <c r="F26" s="43" t="n">
        <f aca="false">SUM($E$5:E26)</f>
        <v>0</v>
      </c>
      <c r="G26" s="49" t="str">
        <f aca="false">IF(COUNTIFS(Journal!$AM$5:$AM$304,$A26,Journal!$AD$5:$AD$304,"Oui")+COUNTIFS(Journal!$AM$5:$AM$304,$A26,Journal!$AD$5:$AD$304,"Non")=0,"",COUNTIFS(Journal!$AM$5:$AM$304,$A26,Journal!$AD$5:$AD$304,"Oui")/(COUNTIFS(Journal!$AM$5:$AM$304,$A26,Journal!$AD$5:$AD$304,"Oui")+COUNTIFS(Journal!$AM$5:$AM$304,$A26,Journal!$AD$5:$AD$304,"Non")))</f>
        <v/>
      </c>
      <c r="H26" s="52"/>
      <c r="I26" s="36"/>
      <c r="J26" s="36"/>
      <c r="K26" s="36"/>
      <c r="L26" s="36"/>
    </row>
    <row r="27" customFormat="false" ht="15" hidden="false" customHeight="false" outlineLevel="0" collapsed="false">
      <c r="A27" s="51" t="n">
        <f aca="false">Paramètres!$B$12+7*22</f>
        <v>46447</v>
      </c>
      <c r="B27" s="38" t="n">
        <f aca="false">COUNTIFS(Journal!$AM$5:$AM$304,$A27,Journal!$AA$5:$AA$304,"&gt;=-100")</f>
        <v>0</v>
      </c>
      <c r="C27" s="49" t="str">
        <f aca="false">IF(B27=0,"",COUNTIFS(Journal!$AM$5:$AM$304,$A27,Journal!$AA$5:$AA$304,"&gt;0")/B27)</f>
        <v/>
      </c>
      <c r="D27" s="49" t="str">
        <f aca="false">IF(B27=0,"",(COUNTIFS(Journal!$AM$5:$AM$304,$A27,Journal!$Y$5:$Y$304,"TP2")+COUNTIFS(Journal!$AM$5:$AM$304,$A27,Journal!$Y$5:$Y$304,"TP1 + BE")+COUNTIFS(Journal!$AM$5:$AM$304,$A27,Journal!$Y$5:$Y$304,"TP1 (100 %)"))/B27)</f>
        <v/>
      </c>
      <c r="E27" s="43" t="n">
        <f aca="false">SUMIFS(Journal!$AA$5:$AA$304,Journal!$AM$5:$AM$304,$A27)</f>
        <v>0</v>
      </c>
      <c r="F27" s="43" t="n">
        <f aca="false">SUM($E$5:E27)</f>
        <v>0</v>
      </c>
      <c r="G27" s="49" t="str">
        <f aca="false">IF(COUNTIFS(Journal!$AM$5:$AM$304,$A27,Journal!$AD$5:$AD$304,"Oui")+COUNTIFS(Journal!$AM$5:$AM$304,$A27,Journal!$AD$5:$AD$304,"Non")=0,"",COUNTIFS(Journal!$AM$5:$AM$304,$A27,Journal!$AD$5:$AD$304,"Oui")/(COUNTIFS(Journal!$AM$5:$AM$304,$A27,Journal!$AD$5:$AD$304,"Oui")+COUNTIFS(Journal!$AM$5:$AM$304,$A27,Journal!$AD$5:$AD$304,"Non")))</f>
        <v/>
      </c>
      <c r="H27" s="52"/>
      <c r="I27" s="36"/>
      <c r="J27" s="36"/>
      <c r="K27" s="36"/>
      <c r="L27" s="36"/>
    </row>
    <row r="28" customFormat="false" ht="15" hidden="false" customHeight="false" outlineLevel="0" collapsed="false">
      <c r="A28" s="51" t="n">
        <f aca="false">Paramètres!$B$12+7*23</f>
        <v>46454</v>
      </c>
      <c r="B28" s="38" t="n">
        <f aca="false">COUNTIFS(Journal!$AM$5:$AM$304,$A28,Journal!$AA$5:$AA$304,"&gt;=-100")</f>
        <v>0</v>
      </c>
      <c r="C28" s="49" t="str">
        <f aca="false">IF(B28=0,"",COUNTIFS(Journal!$AM$5:$AM$304,$A28,Journal!$AA$5:$AA$304,"&gt;0")/B28)</f>
        <v/>
      </c>
      <c r="D28" s="49" t="str">
        <f aca="false">IF(B28=0,"",(COUNTIFS(Journal!$AM$5:$AM$304,$A28,Journal!$Y$5:$Y$304,"TP2")+COUNTIFS(Journal!$AM$5:$AM$304,$A28,Journal!$Y$5:$Y$304,"TP1 + BE")+COUNTIFS(Journal!$AM$5:$AM$304,$A28,Journal!$Y$5:$Y$304,"TP1 (100 %)"))/B28)</f>
        <v/>
      </c>
      <c r="E28" s="43" t="n">
        <f aca="false">SUMIFS(Journal!$AA$5:$AA$304,Journal!$AM$5:$AM$304,$A28)</f>
        <v>0</v>
      </c>
      <c r="F28" s="43" t="n">
        <f aca="false">SUM($E$5:E28)</f>
        <v>0</v>
      </c>
      <c r="G28" s="49" t="str">
        <f aca="false">IF(COUNTIFS(Journal!$AM$5:$AM$304,$A28,Journal!$AD$5:$AD$304,"Oui")+COUNTIFS(Journal!$AM$5:$AM$304,$A28,Journal!$AD$5:$AD$304,"Non")=0,"",COUNTIFS(Journal!$AM$5:$AM$304,$A28,Journal!$AD$5:$AD$304,"Oui")/(COUNTIFS(Journal!$AM$5:$AM$304,$A28,Journal!$AD$5:$AD$304,"Oui")+COUNTIFS(Journal!$AM$5:$AM$304,$A28,Journal!$AD$5:$AD$304,"Non")))</f>
        <v/>
      </c>
      <c r="H28" s="52"/>
      <c r="I28" s="36"/>
      <c r="J28" s="36"/>
      <c r="K28" s="36"/>
      <c r="L28" s="36"/>
    </row>
    <row r="29" customFormat="false" ht="15" hidden="false" customHeight="false" outlineLevel="0" collapsed="false">
      <c r="A29" s="51" t="n">
        <f aca="false">Paramètres!$B$12+7*24</f>
        <v>46461</v>
      </c>
      <c r="B29" s="38" t="n">
        <f aca="false">COUNTIFS(Journal!$AM$5:$AM$304,$A29,Journal!$AA$5:$AA$304,"&gt;=-100")</f>
        <v>0</v>
      </c>
      <c r="C29" s="49" t="str">
        <f aca="false">IF(B29=0,"",COUNTIFS(Journal!$AM$5:$AM$304,$A29,Journal!$AA$5:$AA$304,"&gt;0")/B29)</f>
        <v/>
      </c>
      <c r="D29" s="49" t="str">
        <f aca="false">IF(B29=0,"",(COUNTIFS(Journal!$AM$5:$AM$304,$A29,Journal!$Y$5:$Y$304,"TP2")+COUNTIFS(Journal!$AM$5:$AM$304,$A29,Journal!$Y$5:$Y$304,"TP1 + BE")+COUNTIFS(Journal!$AM$5:$AM$304,$A29,Journal!$Y$5:$Y$304,"TP1 (100 %)"))/B29)</f>
        <v/>
      </c>
      <c r="E29" s="43" t="n">
        <f aca="false">SUMIFS(Journal!$AA$5:$AA$304,Journal!$AM$5:$AM$304,$A29)</f>
        <v>0</v>
      </c>
      <c r="F29" s="43" t="n">
        <f aca="false">SUM($E$5:E29)</f>
        <v>0</v>
      </c>
      <c r="G29" s="49" t="str">
        <f aca="false">IF(COUNTIFS(Journal!$AM$5:$AM$304,$A29,Journal!$AD$5:$AD$304,"Oui")+COUNTIFS(Journal!$AM$5:$AM$304,$A29,Journal!$AD$5:$AD$304,"Non")=0,"",COUNTIFS(Journal!$AM$5:$AM$304,$A29,Journal!$AD$5:$AD$304,"Oui")/(COUNTIFS(Journal!$AM$5:$AM$304,$A29,Journal!$AD$5:$AD$304,"Oui")+COUNTIFS(Journal!$AM$5:$AM$304,$A29,Journal!$AD$5:$AD$304,"Non")))</f>
        <v/>
      </c>
      <c r="H29" s="52"/>
      <c r="I29" s="36"/>
      <c r="J29" s="36"/>
      <c r="K29" s="36"/>
      <c r="L29" s="36"/>
    </row>
    <row r="30" customFormat="false" ht="15" hidden="false" customHeight="false" outlineLevel="0" collapsed="false">
      <c r="A30" s="51" t="n">
        <f aca="false">Paramètres!$B$12+7*25</f>
        <v>46468</v>
      </c>
      <c r="B30" s="38" t="n">
        <f aca="false">COUNTIFS(Journal!$AM$5:$AM$304,$A30,Journal!$AA$5:$AA$304,"&gt;=-100")</f>
        <v>0</v>
      </c>
      <c r="C30" s="49" t="str">
        <f aca="false">IF(B30=0,"",COUNTIFS(Journal!$AM$5:$AM$304,$A30,Journal!$AA$5:$AA$304,"&gt;0")/B30)</f>
        <v/>
      </c>
      <c r="D30" s="49" t="str">
        <f aca="false">IF(B30=0,"",(COUNTIFS(Journal!$AM$5:$AM$304,$A30,Journal!$Y$5:$Y$304,"TP2")+COUNTIFS(Journal!$AM$5:$AM$304,$A30,Journal!$Y$5:$Y$304,"TP1 + BE")+COUNTIFS(Journal!$AM$5:$AM$304,$A30,Journal!$Y$5:$Y$304,"TP1 (100 %)"))/B30)</f>
        <v/>
      </c>
      <c r="E30" s="43" t="n">
        <f aca="false">SUMIFS(Journal!$AA$5:$AA$304,Journal!$AM$5:$AM$304,$A30)</f>
        <v>0</v>
      </c>
      <c r="F30" s="43" t="n">
        <f aca="false">SUM($E$5:E30)</f>
        <v>0</v>
      </c>
      <c r="G30" s="49" t="str">
        <f aca="false">IF(COUNTIFS(Journal!$AM$5:$AM$304,$A30,Journal!$AD$5:$AD$304,"Oui")+COUNTIFS(Journal!$AM$5:$AM$304,$A30,Journal!$AD$5:$AD$304,"Non")=0,"",COUNTIFS(Journal!$AM$5:$AM$304,$A30,Journal!$AD$5:$AD$304,"Oui")/(COUNTIFS(Journal!$AM$5:$AM$304,$A30,Journal!$AD$5:$AD$304,"Oui")+COUNTIFS(Journal!$AM$5:$AM$304,$A30,Journal!$AD$5:$AD$304,"Non")))</f>
        <v/>
      </c>
      <c r="H30" s="52"/>
      <c r="I30" s="36"/>
      <c r="J30" s="36"/>
      <c r="K30" s="36"/>
      <c r="L30" s="36"/>
    </row>
  </sheetData>
  <conditionalFormatting sqref="E5:E30">
    <cfRule type="expression" priority="2" aboveAverage="0" equalAverage="0" bottom="0" percent="0" rank="0" text="" dxfId="0">
      <formula>E5&gt;0</formula>
    </cfRule>
    <cfRule type="expression" priority="3" aboveAverage="0" equalAverage="0" bottom="0" percent="0" rank="0" text="" dxfId="1">
      <formula>E5&lt;0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18" min="4" style="0" width="16"/>
  </cols>
  <sheetData>
    <row r="1" customFormat="false" ht="19.7" hidden="false" customHeight="false" outlineLevel="0" collapsed="false">
      <c r="A1" s="1" t="s">
        <v>179</v>
      </c>
    </row>
    <row r="2" customFormat="false" ht="15" hidden="false" customHeight="false" outlineLevel="0" collapsed="false">
      <c r="A2" s="6" t="s">
        <v>180</v>
      </c>
    </row>
    <row r="3" customFormat="false" ht="15" hidden="false" customHeight="false" outlineLevel="0" collapsed="false">
      <c r="A3" s="4" t="s">
        <v>181</v>
      </c>
      <c r="B3" s="4" t="s">
        <v>136</v>
      </c>
      <c r="C3" s="4" t="s">
        <v>182</v>
      </c>
      <c r="D3" s="4" t="s">
        <v>183</v>
      </c>
      <c r="E3" s="4" t="s">
        <v>184</v>
      </c>
      <c r="F3" s="4" t="s">
        <v>185</v>
      </c>
      <c r="G3" s="4" t="s">
        <v>31</v>
      </c>
      <c r="H3" s="4" t="s">
        <v>107</v>
      </c>
      <c r="I3" s="4" t="s">
        <v>186</v>
      </c>
      <c r="J3" s="4" t="s">
        <v>187</v>
      </c>
      <c r="K3" s="4" t="s">
        <v>35</v>
      </c>
      <c r="L3" s="4" t="s">
        <v>188</v>
      </c>
      <c r="M3" s="4" t="s">
        <v>111</v>
      </c>
      <c r="N3" s="4" t="s">
        <v>189</v>
      </c>
      <c r="O3" s="4" t="s">
        <v>190</v>
      </c>
      <c r="P3" s="4" t="s">
        <v>191</v>
      </c>
      <c r="Q3" s="4" t="s">
        <v>114</v>
      </c>
      <c r="R3" s="4" t="s">
        <v>192</v>
      </c>
    </row>
    <row r="4" customFormat="false" ht="15" hidden="false" customHeight="false" outlineLevel="0" collapsed="false">
      <c r="A4" s="10" t="s">
        <v>193</v>
      </c>
      <c r="B4" s="53" t="n">
        <v>1000</v>
      </c>
      <c r="C4" s="6" t="s">
        <v>194</v>
      </c>
      <c r="D4" s="54" t="s">
        <v>50</v>
      </c>
      <c r="E4" s="54" t="s">
        <v>195</v>
      </c>
      <c r="F4" s="54" t="s">
        <v>52</v>
      </c>
      <c r="G4" s="54" t="s">
        <v>53</v>
      </c>
      <c r="H4" s="54" t="s">
        <v>54</v>
      </c>
      <c r="I4" s="54" t="s">
        <v>55</v>
      </c>
      <c r="J4" s="54" t="s">
        <v>196</v>
      </c>
      <c r="K4" s="54" t="s">
        <v>57</v>
      </c>
      <c r="L4" s="54" t="s">
        <v>58</v>
      </c>
      <c r="M4" s="54" t="s">
        <v>36</v>
      </c>
      <c r="N4" s="54" t="s">
        <v>41</v>
      </c>
      <c r="O4" s="54" t="s">
        <v>61</v>
      </c>
      <c r="P4" s="54" t="s">
        <v>62</v>
      </c>
      <c r="Q4" s="54" t="s">
        <v>197</v>
      </c>
      <c r="R4" s="54" t="s">
        <v>198</v>
      </c>
    </row>
    <row r="5" customFormat="false" ht="15" hidden="false" customHeight="false" outlineLevel="0" collapsed="false">
      <c r="A5" s="10" t="s">
        <v>199</v>
      </c>
      <c r="B5" s="55" t="n">
        <v>0.005</v>
      </c>
      <c r="C5" s="6" t="s">
        <v>200</v>
      </c>
      <c r="D5" s="54" t="s">
        <v>201</v>
      </c>
      <c r="E5" s="54" t="s">
        <v>202</v>
      </c>
      <c r="F5" s="54" t="s">
        <v>203</v>
      </c>
      <c r="G5" s="54" t="s">
        <v>204</v>
      </c>
      <c r="H5" s="54" t="s">
        <v>205</v>
      </c>
      <c r="I5" s="54" t="s">
        <v>206</v>
      </c>
      <c r="J5" s="54" t="s">
        <v>207</v>
      </c>
      <c r="K5" s="54" t="s">
        <v>208</v>
      </c>
      <c r="L5" s="54" t="s">
        <v>59</v>
      </c>
      <c r="M5" s="54" t="s">
        <v>209</v>
      </c>
      <c r="N5" s="54" t="s">
        <v>210</v>
      </c>
      <c r="O5" s="54" t="s">
        <v>211</v>
      </c>
      <c r="P5" s="54" t="s">
        <v>212</v>
      </c>
      <c r="Q5" s="54" t="s">
        <v>213</v>
      </c>
      <c r="R5" s="54" t="s">
        <v>214</v>
      </c>
    </row>
    <row r="6" customFormat="false" ht="15" hidden="false" customHeight="false" outlineLevel="0" collapsed="false">
      <c r="A6" s="10" t="s">
        <v>215</v>
      </c>
      <c r="B6" s="56" t="n">
        <v>1</v>
      </c>
      <c r="C6" s="6" t="s">
        <v>216</v>
      </c>
      <c r="D6" s="54" t="s">
        <v>217</v>
      </c>
      <c r="E6" s="54" t="s">
        <v>51</v>
      </c>
      <c r="F6" s="54" t="s">
        <v>218</v>
      </c>
      <c r="H6" s="54" t="s">
        <v>219</v>
      </c>
      <c r="I6" s="54" t="s">
        <v>220</v>
      </c>
      <c r="J6" s="54" t="s">
        <v>221</v>
      </c>
      <c r="K6" s="54" t="s">
        <v>222</v>
      </c>
      <c r="M6" s="54" t="s">
        <v>223</v>
      </c>
      <c r="N6" s="54" t="s">
        <v>224</v>
      </c>
      <c r="O6" s="54" t="s">
        <v>225</v>
      </c>
      <c r="P6" s="54" t="s">
        <v>226</v>
      </c>
      <c r="Q6" s="54" t="s">
        <v>227</v>
      </c>
      <c r="R6" s="54" t="s">
        <v>228</v>
      </c>
    </row>
    <row r="7" customFormat="false" ht="15" hidden="false" customHeight="false" outlineLevel="0" collapsed="false">
      <c r="A7" s="10" t="s">
        <v>229</v>
      </c>
      <c r="B7" s="57" t="n">
        <v>0.5</v>
      </c>
      <c r="C7" s="6" t="s">
        <v>230</v>
      </c>
      <c r="D7" s="54" t="s">
        <v>231</v>
      </c>
      <c r="E7" s="54" t="s">
        <v>232</v>
      </c>
      <c r="F7" s="54" t="s">
        <v>212</v>
      </c>
      <c r="J7" s="54" t="s">
        <v>56</v>
      </c>
      <c r="N7" s="54" t="s">
        <v>233</v>
      </c>
      <c r="O7" s="54" t="s">
        <v>234</v>
      </c>
      <c r="P7" s="54" t="s">
        <v>235</v>
      </c>
      <c r="R7" s="54" t="s">
        <v>236</v>
      </c>
    </row>
    <row r="8" customFormat="false" ht="15" hidden="false" customHeight="false" outlineLevel="0" collapsed="false">
      <c r="A8" s="10" t="s">
        <v>237</v>
      </c>
      <c r="B8" s="57" t="n">
        <v>0.7</v>
      </c>
      <c r="C8" s="6" t="s">
        <v>238</v>
      </c>
      <c r="D8" s="54" t="s">
        <v>239</v>
      </c>
      <c r="J8" s="54" t="s">
        <v>240</v>
      </c>
      <c r="N8" s="54" t="s">
        <v>40</v>
      </c>
      <c r="O8" s="54" t="s">
        <v>241</v>
      </c>
      <c r="P8" s="54" t="s">
        <v>242</v>
      </c>
      <c r="R8" s="54" t="s">
        <v>243</v>
      </c>
    </row>
    <row r="9" customFormat="false" ht="15" hidden="false" customHeight="false" outlineLevel="0" collapsed="false">
      <c r="A9" s="10" t="s">
        <v>244</v>
      </c>
      <c r="B9" s="58" t="n">
        <v>0.2</v>
      </c>
      <c r="C9" s="6" t="s">
        <v>245</v>
      </c>
      <c r="D9" s="54" t="s">
        <v>246</v>
      </c>
      <c r="J9" s="54" t="s">
        <v>247</v>
      </c>
      <c r="N9" s="54" t="s">
        <v>248</v>
      </c>
      <c r="O9" s="54" t="s">
        <v>249</v>
      </c>
      <c r="P9" s="54" t="s">
        <v>250</v>
      </c>
    </row>
    <row r="10" customFormat="false" ht="15" hidden="false" customHeight="false" outlineLevel="0" collapsed="false">
      <c r="A10" s="10" t="s">
        <v>251</v>
      </c>
      <c r="B10" s="59" t="n">
        <v>2</v>
      </c>
      <c r="C10" s="6" t="s">
        <v>252</v>
      </c>
      <c r="D10" s="54" t="s">
        <v>253</v>
      </c>
      <c r="J10" s="54" t="s">
        <v>254</v>
      </c>
      <c r="O10" s="54" t="s">
        <v>255</v>
      </c>
      <c r="P10" s="54" t="s">
        <v>256</v>
      </c>
    </row>
    <row r="11" customFormat="false" ht="15" hidden="false" customHeight="false" outlineLevel="0" collapsed="false">
      <c r="A11" s="10" t="s">
        <v>257</v>
      </c>
      <c r="B11" s="56" t="n">
        <v>2</v>
      </c>
      <c r="C11" s="6" t="s">
        <v>258</v>
      </c>
      <c r="J11" s="54" t="s">
        <v>259</v>
      </c>
      <c r="P11" s="54" t="s">
        <v>260</v>
      </c>
    </row>
    <row r="12" customFormat="false" ht="15" hidden="false" customHeight="false" outlineLevel="0" collapsed="false">
      <c r="A12" s="10" t="s">
        <v>261</v>
      </c>
      <c r="B12" s="60" t="n">
        <v>46293</v>
      </c>
      <c r="C12" s="6" t="s">
        <v>262</v>
      </c>
      <c r="J12" s="54" t="s">
        <v>62</v>
      </c>
      <c r="P12" s="54" t="s">
        <v>263</v>
      </c>
    </row>
    <row r="13" customFormat="false" ht="15" hidden="false" customHeight="false" outlineLevel="0" collapsed="false">
      <c r="A13" s="10" t="s">
        <v>264</v>
      </c>
      <c r="B13" s="57" t="n">
        <v>0.9</v>
      </c>
      <c r="C13" s="6" t="s">
        <v>265</v>
      </c>
      <c r="P13" s="54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2026-09-26T12:56:13Z</dcterms:created>
  <dc:creator>openpyxl</dc:creator>
  <dc:description/>
  <dc:language>en-US</dc:language>
  <cp:lastModifiedBy/>
  <dcterms:modified xsi:type="dcterms:W3CDTF">2026-09-26T12:56:40Z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